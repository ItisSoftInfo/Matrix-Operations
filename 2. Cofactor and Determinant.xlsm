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Studies\YouTube\5. Finite Element Method\6. Cofactor and Determinant\"/>
    </mc:Choice>
  </mc:AlternateContent>
  <xr:revisionPtr revIDLastSave="0" documentId="13_ncr:1_{FED33735-369A-4A7E-97DC-EFDAE4ECB8F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 Page" sheetId="8" r:id="rId1"/>
    <sheet name="Cofactor of 2x2 Matrix" sheetId="32" state="hidden" r:id="rId2"/>
    <sheet name="Cofactor of 3x3 Matrix" sheetId="31" state="hidden" r:id="rId3"/>
    <sheet name="Determinant of 2x2 Matrix" sheetId="33" state="hidden" r:id="rId4"/>
    <sheet name="Determinant of 3x3 Matrix" sheetId="3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5" i="34" l="1"/>
  <c r="W15" i="34" s="1"/>
  <c r="S15" i="34"/>
  <c r="J17" i="34"/>
  <c r="J15" i="34"/>
  <c r="G13" i="34" l="1"/>
  <c r="F13" i="34"/>
  <c r="I13" i="34" s="1"/>
  <c r="E13" i="34"/>
  <c r="H13" i="34" s="1"/>
  <c r="G12" i="34"/>
  <c r="F12" i="34"/>
  <c r="I12" i="34" s="1"/>
  <c r="E12" i="34"/>
  <c r="H12" i="34" s="1"/>
  <c r="G11" i="34"/>
  <c r="F11" i="34"/>
  <c r="I11" i="34" s="1"/>
  <c r="E11" i="34"/>
  <c r="H11" i="34" s="1"/>
  <c r="B15" i="34"/>
  <c r="E16" i="34"/>
  <c r="F16" i="34"/>
  <c r="G16" i="34"/>
  <c r="E17" i="34"/>
  <c r="F17" i="34"/>
  <c r="G17" i="34"/>
  <c r="F15" i="34"/>
  <c r="G15" i="34"/>
  <c r="E15" i="34"/>
  <c r="J7" i="34"/>
  <c r="B7" i="34"/>
  <c r="I14" i="33"/>
  <c r="E15" i="33" l="1"/>
  <c r="F15" i="33"/>
  <c r="F14" i="33"/>
  <c r="E14" i="33"/>
  <c r="O14" i="33" s="1"/>
  <c r="B14" i="33"/>
  <c r="F12" i="33"/>
  <c r="E12" i="33"/>
  <c r="F11" i="33"/>
  <c r="E11" i="33"/>
  <c r="J7" i="33"/>
  <c r="B7" i="33"/>
  <c r="B11" i="33" s="1"/>
  <c r="F36" i="31"/>
  <c r="G36" i="31"/>
  <c r="G35" i="31"/>
  <c r="F35" i="31"/>
  <c r="G33" i="31"/>
  <c r="G32" i="31"/>
  <c r="F33" i="31"/>
  <c r="F32" i="31"/>
  <c r="F30" i="31"/>
  <c r="G30" i="31"/>
  <c r="G29" i="31"/>
  <c r="F29" i="31"/>
  <c r="J29" i="31" s="1"/>
  <c r="G27" i="31"/>
  <c r="F27" i="31"/>
  <c r="G26" i="31"/>
  <c r="F26" i="31"/>
  <c r="G24" i="31"/>
  <c r="G23" i="31"/>
  <c r="F24" i="31"/>
  <c r="F23" i="31"/>
  <c r="G21" i="31"/>
  <c r="F21" i="31"/>
  <c r="G20" i="31"/>
  <c r="F20" i="31"/>
  <c r="F18" i="31"/>
  <c r="G18" i="31"/>
  <c r="G17" i="31"/>
  <c r="F17" i="31"/>
  <c r="G15" i="31"/>
  <c r="F15" i="31"/>
  <c r="G14" i="31"/>
  <c r="F14" i="31"/>
  <c r="B38" i="31"/>
  <c r="F12" i="31"/>
  <c r="G12" i="31"/>
  <c r="G11" i="31"/>
  <c r="F11" i="31"/>
  <c r="E18" i="32"/>
  <c r="F17" i="32"/>
  <c r="F18" i="32"/>
  <c r="E17" i="32"/>
  <c r="F15" i="32"/>
  <c r="E11" i="32"/>
  <c r="E15" i="32"/>
  <c r="F14" i="32"/>
  <c r="E12" i="32"/>
  <c r="E14" i="32"/>
  <c r="F12" i="32"/>
  <c r="F11" i="32"/>
  <c r="B11" i="32"/>
  <c r="B17" i="32"/>
  <c r="B14" i="32"/>
  <c r="J7" i="32"/>
  <c r="B7" i="32"/>
  <c r="K7" i="31"/>
  <c r="B7" i="31"/>
  <c r="J32" i="31" l="1"/>
  <c r="J11" i="31"/>
  <c r="M11" i="31"/>
  <c r="E38" i="31" s="1"/>
  <c r="J17" i="31"/>
  <c r="M17" i="31"/>
  <c r="G38" i="31" s="1"/>
  <c r="M14" i="31"/>
  <c r="F38" i="31" s="1"/>
  <c r="J14" i="31"/>
  <c r="J20" i="31"/>
  <c r="M20" i="31"/>
  <c r="J26" i="31"/>
  <c r="J35" i="31"/>
  <c r="M23" i="31"/>
  <c r="F39" i="31" s="1"/>
  <c r="J23" i="31"/>
  <c r="M26" i="31"/>
  <c r="G39" i="31" s="1"/>
  <c r="M29" i="31"/>
  <c r="E40" i="31" s="1"/>
  <c r="M35" i="31"/>
  <c r="G40" i="31" s="1"/>
  <c r="M32" i="31"/>
  <c r="F40" i="31" s="1"/>
  <c r="E39" i="31"/>
</calcChain>
</file>

<file path=xl/sharedStrings.xml><?xml version="1.0" encoding="utf-8"?>
<sst xmlns="http://schemas.openxmlformats.org/spreadsheetml/2006/main" count="131" uniqueCount="37">
  <si>
    <t>A</t>
  </si>
  <si>
    <t>=</t>
  </si>
  <si>
    <t>[</t>
  </si>
  <si>
    <t>]</t>
  </si>
  <si>
    <t>Go to Main Page</t>
  </si>
  <si>
    <t>Click Below to Open</t>
  </si>
  <si>
    <t>Visit and Subscribe our YouTube Channel:</t>
  </si>
  <si>
    <t>http://www.youtube.com/@ItisSoftInfo</t>
  </si>
  <si>
    <t>Cofactor of Matrix</t>
  </si>
  <si>
    <t>Determinant of Matrix</t>
  </si>
  <si>
    <t>Cofactor of 2x2 Matrix</t>
  </si>
  <si>
    <t>Cofactor of 3x3 Matrix</t>
  </si>
  <si>
    <t>Determinant of 2x2 Matrix</t>
  </si>
  <si>
    <t>Determinant of 3x3 Matrix</t>
  </si>
  <si>
    <t>Enter Name of Matrix</t>
  </si>
  <si>
    <r>
      <t>C</t>
    </r>
    <r>
      <rPr>
        <b/>
        <vertAlign val="subscript"/>
        <sz val="12"/>
        <color theme="1"/>
        <rFont val="Times New Roman"/>
        <family val="1"/>
      </rPr>
      <t>11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</si>
  <si>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1+1</t>
    </r>
  </si>
  <si>
    <r>
      <t>C</t>
    </r>
    <r>
      <rPr>
        <b/>
        <vertAlign val="subscript"/>
        <sz val="12"/>
        <color theme="1"/>
        <rFont val="Times New Roman"/>
        <family val="1"/>
      </rPr>
      <t>12</t>
    </r>
  </si>
  <si>
    <r>
      <t>C</t>
    </r>
    <r>
      <rPr>
        <b/>
        <vertAlign val="subscript"/>
        <sz val="12"/>
        <color theme="1"/>
        <rFont val="Times New Roman"/>
        <family val="1"/>
      </rPr>
      <t>13</t>
    </r>
  </si>
  <si>
    <r>
      <t>C</t>
    </r>
    <r>
      <rPr>
        <b/>
        <vertAlign val="subscript"/>
        <sz val="12"/>
        <color theme="1"/>
        <rFont val="Times New Roman"/>
        <family val="1"/>
      </rPr>
      <t>21</t>
    </r>
  </si>
  <si>
    <r>
      <t>C</t>
    </r>
    <r>
      <rPr>
        <b/>
        <vertAlign val="subscript"/>
        <sz val="12"/>
        <color theme="1"/>
        <rFont val="Times New Roman"/>
        <family val="1"/>
      </rPr>
      <t>22</t>
    </r>
  </si>
  <si>
    <r>
      <t>C</t>
    </r>
    <r>
      <rPr>
        <b/>
        <vertAlign val="subscript"/>
        <sz val="12"/>
        <color theme="1"/>
        <rFont val="Times New Roman"/>
        <family val="1"/>
      </rPr>
      <t>23</t>
    </r>
  </si>
  <si>
    <r>
      <t>C</t>
    </r>
    <r>
      <rPr>
        <b/>
        <vertAlign val="subscript"/>
        <sz val="12"/>
        <color theme="1"/>
        <rFont val="Times New Roman"/>
        <family val="1"/>
      </rPr>
      <t>31</t>
    </r>
  </si>
  <si>
    <r>
      <t>C</t>
    </r>
    <r>
      <rPr>
        <b/>
        <vertAlign val="subscript"/>
        <sz val="12"/>
        <color theme="1"/>
        <rFont val="Times New Roman"/>
        <family val="1"/>
      </rPr>
      <t>32</t>
    </r>
  </si>
  <si>
    <r>
      <t>C</t>
    </r>
    <r>
      <rPr>
        <b/>
        <vertAlign val="subscript"/>
        <sz val="12"/>
        <color theme="1"/>
        <rFont val="Times New Roman"/>
        <family val="1"/>
      </rPr>
      <t>33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</si>
  <si>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1+2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</si>
  <si>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1+3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</si>
  <si>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2+1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</si>
  <si>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2+2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</si>
  <si>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2+3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</si>
  <si>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3+1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</si>
  <si>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3+2</t>
    </r>
  </si>
  <si>
    <r>
      <t>(</t>
    </r>
    <r>
      <rPr>
        <sz val="11"/>
        <color theme="1"/>
        <rFont val="Courier New"/>
        <family val="3"/>
      </rPr>
      <t>−</t>
    </r>
    <r>
      <rPr>
        <sz val="11"/>
        <color theme="1"/>
        <rFont val="Times New Roman"/>
        <family val="1"/>
      </rPr>
      <t>1)</t>
    </r>
    <r>
      <rPr>
        <vertAlign val="superscript"/>
        <sz val="11"/>
        <color theme="1"/>
        <rFont val="Times New Roman"/>
        <family val="1"/>
      </rPr>
      <t>3+3</t>
    </r>
  </si>
  <si>
    <t>Video Link for Cofactor of Matrix</t>
  </si>
  <si>
    <t>Video Link for Determinant of Matrix</t>
  </si>
  <si>
    <t>|</t>
  </si>
  <si>
    <t>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</si>
</sst>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6"/>
      <color theme="1"/>
      <name val="Times New Roman"/>
      <family val="1"/>
    </font>
    <font>
      <sz val="26"/>
      <color theme="1"/>
      <name val="Courier New"/>
      <family val="3"/>
    </font>
    <font>
      <b/>
      <sz val="12"/>
      <color rgb="FFFF0000"/>
      <name val="Times New Roman"/>
      <family val="1"/>
    </font>
    <font>
      <b/>
      <sz val="12"/>
      <color rgb="FF00B050"/>
      <name val="Times New Roman"/>
      <family val="1"/>
    </font>
    <font>
      <b/>
      <sz val="12"/>
      <color rgb="FF0070C0"/>
      <name val="Times New Roman"/>
      <family val="1"/>
    </font>
    <font>
      <b/>
      <sz val="12"/>
      <color rgb="FFFFC000"/>
      <name val="Times New Roman"/>
      <family val="1"/>
    </font>
    <font>
      <sz val="11"/>
      <color theme="1"/>
      <name val="Times New Roman"/>
      <family val="1"/>
    </font>
    <font>
      <sz val="48"/>
      <color theme="1"/>
      <name val="Courier New"/>
      <family val="3"/>
    </font>
    <font>
      <b/>
      <sz val="12"/>
      <color rgb="FFC00000"/>
      <name val="Times New Roman"/>
      <family val="1"/>
    </font>
    <font>
      <b/>
      <sz val="12"/>
      <color rgb="FF7030A0"/>
      <name val="Times New Roman"/>
      <family val="1"/>
    </font>
    <font>
      <u/>
      <sz val="11"/>
      <color theme="10"/>
      <name val="Calibri"/>
      <family val="2"/>
      <scheme val="minor"/>
    </font>
    <font>
      <b/>
      <u/>
      <sz val="12"/>
      <color rgb="FFFF0000"/>
      <name val="Times New Roman"/>
      <family val="1"/>
    </font>
    <font>
      <b/>
      <sz val="12"/>
      <color rgb="FFAC1099"/>
      <name val="Times New Roman"/>
      <family val="1"/>
    </font>
    <font>
      <sz val="12"/>
      <name val="Times New Roman"/>
      <family val="1"/>
    </font>
    <font>
      <b/>
      <sz val="16"/>
      <color rgb="FFFF0000"/>
      <name val="Times New Roman"/>
      <family val="1"/>
    </font>
    <font>
      <b/>
      <u/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u/>
      <sz val="14"/>
      <color rgb="FF00B050"/>
      <name val="Times New Roman"/>
      <family val="1"/>
    </font>
    <font>
      <sz val="12"/>
      <color theme="1"/>
      <name val="Courier New"/>
      <family val="3"/>
    </font>
    <font>
      <b/>
      <sz val="12"/>
      <name val="Times New Roman"/>
      <family val="1"/>
    </font>
    <font>
      <b/>
      <vertAlign val="subscript"/>
      <sz val="12"/>
      <color theme="1"/>
      <name val="Times New Roman"/>
      <family val="1"/>
    </font>
    <font>
      <sz val="11"/>
      <color theme="1"/>
      <name val="Courier New"/>
      <family val="3"/>
    </font>
    <font>
      <vertAlign val="superscript"/>
      <sz val="11"/>
      <color theme="1"/>
      <name val="Times New Roman"/>
      <family val="1"/>
    </font>
    <font>
      <sz val="12"/>
      <color rgb="FF00B050"/>
      <name val="Times New Roman"/>
      <family val="1"/>
    </font>
    <font>
      <sz val="26"/>
      <color rgb="FF00B050"/>
      <name val="Courier New"/>
      <family val="3"/>
    </font>
    <font>
      <sz val="26"/>
      <color rgb="FF00B050"/>
      <name val="Times New Roman"/>
      <family val="1"/>
    </font>
    <font>
      <b/>
      <sz val="16"/>
      <color theme="1"/>
      <name val="Times New Roman"/>
      <family val="1"/>
    </font>
    <font>
      <sz val="48"/>
      <color theme="1"/>
      <name val="Times New Roman"/>
      <family val="1"/>
    </font>
    <font>
      <sz val="26"/>
      <name val="Times New Roman"/>
      <family val="1"/>
    </font>
    <font>
      <sz val="12"/>
      <color rgb="FFFF0000"/>
      <name val="Times New Roman"/>
      <family val="1"/>
    </font>
    <font>
      <sz val="11"/>
      <name val="Times New Roman"/>
      <family val="1"/>
    </font>
    <font>
      <b/>
      <sz val="26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Border="1" applyProtection="1">
      <protection hidden="1"/>
    </xf>
    <xf numFmtId="0" fontId="1" fillId="0" borderId="0" xfId="0" applyFont="1" applyBorder="1" applyProtection="1">
      <protection hidden="1"/>
    </xf>
    <xf numFmtId="0" fontId="2" fillId="0" borderId="23" xfId="0" applyFont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hidden="1"/>
    </xf>
    <xf numFmtId="0" fontId="1" fillId="0" borderId="16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2" fillId="0" borderId="14" xfId="0" applyFont="1" applyBorder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alignment horizontal="left" vertical="center"/>
      <protection hidden="1"/>
    </xf>
    <xf numFmtId="0" fontId="19" fillId="0" borderId="0" xfId="0" applyFont="1" applyBorder="1" applyAlignment="1" applyProtection="1">
      <alignment horizontal="left" vertical="center"/>
      <protection hidden="1"/>
    </xf>
    <xf numFmtId="0" fontId="17" fillId="0" borderId="0" xfId="0" applyFont="1" applyBorder="1" applyAlignment="1" applyProtection="1">
      <alignment horizontal="right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vertical="center"/>
      <protection hidden="1"/>
    </xf>
    <xf numFmtId="0" fontId="22" fillId="0" borderId="0" xfId="0" applyFont="1" applyAlignment="1" applyProtection="1">
      <alignment horizontal="center" vertical="center"/>
      <protection locked="0" hidden="1"/>
    </xf>
    <xf numFmtId="0" fontId="22" fillId="0" borderId="0" xfId="0" applyFont="1" applyAlignment="1" applyProtection="1">
      <alignment horizontal="center" vertical="center"/>
      <protection hidden="1"/>
    </xf>
    <xf numFmtId="0" fontId="29" fillId="0" borderId="19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 wrapText="1"/>
      <protection hidden="1"/>
    </xf>
    <xf numFmtId="0" fontId="16" fillId="0" borderId="0" xfId="0" applyFont="1" applyBorder="1" applyProtection="1">
      <protection hidden="1"/>
    </xf>
    <xf numFmtId="0" fontId="33" fillId="0" borderId="0" xfId="0" applyFont="1" applyBorder="1" applyProtection="1">
      <protection hidden="1"/>
    </xf>
    <xf numFmtId="0" fontId="33" fillId="0" borderId="19" xfId="1" applyFont="1" applyFill="1" applyBorder="1" applyAlignment="1" applyProtection="1">
      <alignment horizontal="center" vertical="center" wrapText="1"/>
      <protection hidden="1"/>
    </xf>
    <xf numFmtId="0" fontId="33" fillId="0" borderId="20" xfId="1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left" vertical="center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21" xfId="0" applyFont="1" applyBorder="1" applyAlignment="1" applyProtection="1">
      <alignment horizontal="center" vertical="center"/>
      <protection hidden="1"/>
    </xf>
    <xf numFmtId="0" fontId="9" fillId="0" borderId="17" xfId="0" applyFont="1" applyBorder="1" applyAlignment="1" applyProtection="1">
      <alignment horizontal="center" vertical="center" wrapText="1"/>
      <protection hidden="1"/>
    </xf>
    <xf numFmtId="0" fontId="9" fillId="0" borderId="12" xfId="0" applyFont="1" applyBorder="1" applyAlignment="1" applyProtection="1">
      <alignment horizontal="center" vertical="center" wrapText="1"/>
      <protection hidden="1"/>
    </xf>
    <xf numFmtId="0" fontId="9" fillId="0" borderId="15" xfId="0" applyFont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/>
      <protection hidden="1"/>
    </xf>
    <xf numFmtId="0" fontId="10" fillId="0" borderId="4" xfId="0" applyFont="1" applyBorder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center" vertical="center" wrapText="1"/>
      <protection hidden="1"/>
    </xf>
    <xf numFmtId="0" fontId="9" fillId="0" borderId="2" xfId="0" applyFont="1" applyBorder="1" applyAlignment="1" applyProtection="1">
      <alignment horizontal="center" vertical="center" wrapText="1"/>
      <protection hidden="1"/>
    </xf>
    <xf numFmtId="0" fontId="9" fillId="0" borderId="3" xfId="0" applyFont="1" applyBorder="1" applyAlignment="1" applyProtection="1">
      <alignment horizontal="center" vertical="center" wrapText="1"/>
      <protection hidden="1"/>
    </xf>
    <xf numFmtId="0" fontId="9" fillId="0" borderId="5" xfId="0" applyFont="1" applyBorder="1" applyAlignment="1" applyProtection="1">
      <alignment horizontal="center" vertical="center" wrapText="1"/>
      <protection hidden="1"/>
    </xf>
    <xf numFmtId="0" fontId="9" fillId="0" borderId="6" xfId="0" applyFont="1" applyBorder="1" applyAlignment="1" applyProtection="1">
      <alignment horizontal="center" vertical="center" wrapText="1"/>
      <protection hidden="1"/>
    </xf>
    <xf numFmtId="0" fontId="9" fillId="0" borderId="7" xfId="0" applyFont="1" applyBorder="1" applyAlignment="1" applyProtection="1">
      <alignment horizontal="center" vertical="center" wrapText="1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21" fillId="0" borderId="4" xfId="0" applyFont="1" applyBorder="1" applyAlignment="1" applyProtection="1">
      <alignment horizontal="center"/>
      <protection hidden="1"/>
    </xf>
    <xf numFmtId="0" fontId="9" fillId="0" borderId="18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4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/>
      <protection hidden="1"/>
    </xf>
    <xf numFmtId="0" fontId="30" fillId="0" borderId="4" xfId="0" applyFont="1" applyBorder="1" applyAlignment="1" applyProtection="1">
      <alignment horizont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471"/>
      <color rgb="FF63342B"/>
      <color rgb="FFAC1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115956</xdr:colOff>
      <xdr:row>5</xdr:row>
      <xdr:rowOff>182217</xdr:rowOff>
    </xdr:from>
    <xdr:ext cx="382028" cy="4383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7767166-C6CC-4AA9-9739-65D22731F14A}"/>
                </a:ext>
              </a:extLst>
            </xdr:cNvPr>
            <xdr:cNvSpPr txBox="1"/>
          </xdr:nvSpPr>
          <xdr:spPr>
            <a:xfrm>
              <a:off x="5483086" y="1987826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7767166-C6CC-4AA9-9739-65D22731F14A}"/>
                </a:ext>
              </a:extLst>
            </xdr:cNvPr>
            <xdr:cNvSpPr txBox="1"/>
          </xdr:nvSpPr>
          <xdr:spPr>
            <a:xfrm>
              <a:off x="5483086" y="1987826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←</a:t>
              </a:r>
              <a:endParaRPr lang="en-US" sz="2800"/>
            </a:p>
          </xdr:txBody>
        </xdr:sp>
      </mc:Fallback>
    </mc:AlternateContent>
    <xdr:clientData/>
  </xdr:oneCellAnchor>
  <xdr:twoCellAnchor>
    <xdr:from>
      <xdr:col>3</xdr:col>
      <xdr:colOff>0</xdr:colOff>
      <xdr:row>3</xdr:row>
      <xdr:rowOff>66264</xdr:rowOff>
    </xdr:from>
    <xdr:to>
      <xdr:col>15</xdr:col>
      <xdr:colOff>173934</xdr:colOff>
      <xdr:row>3</xdr:row>
      <xdr:rowOff>470349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9">
              <a:extLst>
                <a:ext uri="{FF2B5EF4-FFF2-40B4-BE49-F238E27FC236}">
                  <a16:creationId xmlns:a16="http://schemas.microsoft.com/office/drawing/2014/main" id="{260D0B0B-C203-42A2-91E8-EECD8AE627B8}"/>
                </a:ext>
              </a:extLst>
            </xdr:cNvPr>
            <xdr:cNvSpPr txBox="1"/>
          </xdr:nvSpPr>
          <xdr:spPr>
            <a:xfrm>
              <a:off x="3263348" y="704025"/>
              <a:ext cx="5342282" cy="40408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d>
                      <m:dPr>
                        <m:begChr m:val="["/>
                        <m:endChr m:val="]"/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d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2"/>
                                  <m:mcJc m:val="center"/>
                                </m:mcPr>
                              </m:mc>
                            </m:mcs>
                            <m:ctrlPr>
                              <a:rPr lang="en-US" sz="12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e>
                            <m:e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e>
                          </m:mr>
                          <m:mr>
                            <m:e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𝑐</m:t>
                              </m:r>
                            </m:e>
                            <m:e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𝑑</m:t>
                              </m:r>
                            </m:e>
                          </m:mr>
                        </m:m>
                      </m:e>
                    </m:d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𝑖𝑠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2×2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𝑀𝑎𝑡𝑟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2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" name="TextBox 19">
              <a:extLst>
                <a:ext uri="{FF2B5EF4-FFF2-40B4-BE49-F238E27FC236}">
                  <a16:creationId xmlns:a16="http://schemas.microsoft.com/office/drawing/2014/main" id="{260D0B0B-C203-42A2-91E8-EECD8AE627B8}"/>
                </a:ext>
              </a:extLst>
            </xdr:cNvPr>
            <xdr:cNvSpPr txBox="1"/>
          </xdr:nvSpPr>
          <xdr:spPr>
            <a:xfrm>
              <a:off x="3263348" y="704025"/>
              <a:ext cx="5342282" cy="40408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𝐼𝑓  [𝐴]=[■8(𝑎&amp;𝑏@𝑐&amp;𝑑)]𝑖𝑠 𝑎 2×2 𝑀𝑎𝑡𝑟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𝑖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𝑥</a:t>
              </a:r>
              <a:endParaRPr lang="en-US" sz="12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3</xdr:col>
      <xdr:colOff>0</xdr:colOff>
      <xdr:row>3</xdr:row>
      <xdr:rowOff>497931</xdr:rowOff>
    </xdr:from>
    <xdr:to>
      <xdr:col>15</xdr:col>
      <xdr:colOff>173934</xdr:colOff>
      <xdr:row>3</xdr:row>
      <xdr:rowOff>901952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0">
              <a:extLst>
                <a:ext uri="{FF2B5EF4-FFF2-40B4-BE49-F238E27FC236}">
                  <a16:creationId xmlns:a16="http://schemas.microsoft.com/office/drawing/2014/main" id="{251F166E-698A-45E8-9878-7F6D2E31B53F}"/>
                </a:ext>
              </a:extLst>
            </xdr:cNvPr>
            <xdr:cNvSpPr txBox="1"/>
          </xdr:nvSpPr>
          <xdr:spPr>
            <a:xfrm>
              <a:off x="3263348" y="1135692"/>
              <a:ext cx="5342282" cy="404021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𝐶𝑜𝑓</m:t>
                    </m:r>
                    <m:d>
                      <m:dPr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d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2"/>
                                  <m:mcJc m:val="center"/>
                                </m:mcPr>
                              </m:mc>
                            </m:mcs>
                            <m:ctrlPr>
                              <a:rPr lang="en-US" sz="12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𝑑</m:t>
                              </m:r>
                            </m:e>
                            <m:e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𝑐</m:t>
                              </m:r>
                            </m:e>
                          </m:mr>
                          <m:mr>
                            <m:e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e>
                            <m:e>
                              <m:r>
                                <a:rPr lang="en-US" sz="1200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2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4" name="TextBox 20">
              <a:extLst>
                <a:ext uri="{FF2B5EF4-FFF2-40B4-BE49-F238E27FC236}">
                  <a16:creationId xmlns:a16="http://schemas.microsoft.com/office/drawing/2014/main" id="{251F166E-698A-45E8-9878-7F6D2E31B53F}"/>
                </a:ext>
              </a:extLst>
            </xdr:cNvPr>
            <xdr:cNvSpPr txBox="1"/>
          </xdr:nvSpPr>
          <xdr:spPr>
            <a:xfrm>
              <a:off x="3263348" y="1135692"/>
              <a:ext cx="5342282" cy="404021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𝐶𝑜𝑓(𝐴)=[𝐶]=[■8(𝑑&amp;−𝑐@−𝑏&amp;𝑎)]</a:t>
              </a:r>
              <a:endParaRPr lang="en-US" sz="12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139147</xdr:colOff>
      <xdr:row>6</xdr:row>
      <xdr:rowOff>81169</xdr:rowOff>
    </xdr:from>
    <xdr:ext cx="382028" cy="4383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BF93BD9-E2AB-4A7E-9DF6-1B63F4CBFDEE}"/>
                </a:ext>
              </a:extLst>
            </xdr:cNvPr>
            <xdr:cNvSpPr txBox="1"/>
          </xdr:nvSpPr>
          <xdr:spPr>
            <a:xfrm>
              <a:off x="5622234" y="2151821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BF93BD9-E2AB-4A7E-9DF6-1B63F4CBFDEE}"/>
                </a:ext>
              </a:extLst>
            </xdr:cNvPr>
            <xdr:cNvSpPr txBox="1"/>
          </xdr:nvSpPr>
          <xdr:spPr>
            <a:xfrm>
              <a:off x="5622234" y="2151821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←</a:t>
              </a:r>
              <a:endParaRPr lang="en-US" sz="2800"/>
            </a:p>
          </xdr:txBody>
        </xdr:sp>
      </mc:Fallback>
    </mc:AlternateContent>
    <xdr:clientData/>
  </xdr:oneCellAnchor>
  <xdr:twoCellAnchor>
    <xdr:from>
      <xdr:col>3</xdr:col>
      <xdr:colOff>24848</xdr:colOff>
      <xdr:row>3</xdr:row>
      <xdr:rowOff>149089</xdr:rowOff>
    </xdr:from>
    <xdr:to>
      <xdr:col>17</xdr:col>
      <xdr:colOff>16565</xdr:colOff>
      <xdr:row>3</xdr:row>
      <xdr:rowOff>730274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22">
              <a:extLst>
                <a:ext uri="{FF2B5EF4-FFF2-40B4-BE49-F238E27FC236}">
                  <a16:creationId xmlns:a16="http://schemas.microsoft.com/office/drawing/2014/main" id="{5F90C637-6DDD-40BC-9D10-D7FA5ADD6962}"/>
                </a:ext>
              </a:extLst>
            </xdr:cNvPr>
            <xdr:cNvSpPr txBox="1"/>
          </xdr:nvSpPr>
          <xdr:spPr>
            <a:xfrm>
              <a:off x="3288196" y="786850"/>
              <a:ext cx="5516217" cy="58118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d>
                      <m:dPr>
                        <m:begChr m:val="["/>
                        <m:endChr m:val="]"/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d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3"/>
                                  <m:mcJc m:val="center"/>
                                </m:mcPr>
                              </m:mc>
                            </m:mcs>
                            <m:ctrlPr>
                              <a:rPr lang="en-US" sz="12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11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12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21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23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20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200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200" b="0" i="1">
                                      <a:solidFill>
                                        <a:srgbClr val="FF0000"/>
                                      </a:solidFill>
                                      <a:latin typeface="Cambria Math" panose="02040503050406030204" pitchFamily="18" charset="0"/>
                                    </a:rPr>
                                    <m:t>33</m:t>
                                  </m:r>
                                </m:sub>
                              </m:sSub>
                            </m:e>
                          </m:mr>
                        </m:m>
                      </m:e>
                    </m:d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𝑖𝑠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3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3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𝑀𝑎𝑡𝑟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200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1" name="TextBox 22">
              <a:extLst>
                <a:ext uri="{FF2B5EF4-FFF2-40B4-BE49-F238E27FC236}">
                  <a16:creationId xmlns:a16="http://schemas.microsoft.com/office/drawing/2014/main" id="{5F90C637-6DDD-40BC-9D10-D7FA5ADD6962}"/>
                </a:ext>
              </a:extLst>
            </xdr:cNvPr>
            <xdr:cNvSpPr txBox="1"/>
          </xdr:nvSpPr>
          <xdr:spPr>
            <a:xfrm>
              <a:off x="3288196" y="786850"/>
              <a:ext cx="5516217" cy="58118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𝐼𝑓  [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𝐴]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=[■8(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𝑎_11&amp;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𝑎_12&amp;𝑎_1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3@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𝑎_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21&amp;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𝑎_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2&amp;𝑎_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23@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𝑎_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1&amp;𝑎_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2&amp;𝑎_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33 )]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𝑖𝑠 𝑎 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×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 𝑀𝑎𝑡𝑟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𝑖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𝑥</a:t>
              </a:r>
              <a:endParaRPr lang="en-US" sz="1200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>
    <xdr:from>
      <xdr:col>2</xdr:col>
      <xdr:colOff>1176129</xdr:colOff>
      <xdr:row>3</xdr:row>
      <xdr:rowOff>741071</xdr:rowOff>
    </xdr:from>
    <xdr:to>
      <xdr:col>16</xdr:col>
      <xdr:colOff>173933</xdr:colOff>
      <xdr:row>3</xdr:row>
      <xdr:rowOff>1044872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24">
              <a:extLst>
                <a:ext uri="{FF2B5EF4-FFF2-40B4-BE49-F238E27FC236}">
                  <a16:creationId xmlns:a16="http://schemas.microsoft.com/office/drawing/2014/main" id="{C671630F-5155-453E-A9BD-9BCE9542AF9B}"/>
                </a:ext>
              </a:extLst>
            </xdr:cNvPr>
            <xdr:cNvSpPr txBox="1"/>
          </xdr:nvSpPr>
          <xdr:spPr>
            <a:xfrm>
              <a:off x="3255064" y="1378832"/>
              <a:ext cx="5524499" cy="303801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𝑇h𝑒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𝐶𝑜𝑓𝑎𝑐𝑡𝑜𝑟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𝑜𝑓𝑒𝑛𝑡𝑟𝑦</m:t>
                    </m:r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r>
                      <a:rPr lang="en-US" sz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(−1)</m:t>
                        </m:r>
                      </m:e>
                      <m:sup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  <m:sSub>
                      <m:sSubPr>
                        <m:ctrlPr>
                          <a:rPr lang="en-US" sz="12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n-US" sz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</m:oMath>
                </m:oMathPara>
              </a14:m>
              <a:endParaRPr lang="en-US" sz="1200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2" name="TextBox 24">
              <a:extLst>
                <a:ext uri="{FF2B5EF4-FFF2-40B4-BE49-F238E27FC236}">
                  <a16:creationId xmlns:a16="http://schemas.microsoft.com/office/drawing/2014/main" id="{C671630F-5155-453E-A9BD-9BCE9542AF9B}"/>
                </a:ext>
              </a:extLst>
            </xdr:cNvPr>
            <xdr:cNvSpPr txBox="1"/>
          </xdr:nvSpPr>
          <xdr:spPr>
            <a:xfrm>
              <a:off x="3255064" y="1378832"/>
              <a:ext cx="5524499" cy="303801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0"/>
                </a:spcAft>
              </a:pP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𝑇ℎ𝑒 𝐶𝑜𝑓𝑎𝑐𝑡𝑜𝑟 𝐶_𝑖𝑗  𝑜𝑓𝑒𝑛𝑡𝑟𝑦 𝑎_𝑖𝑗=〖(−1)〗^((𝑖+𝑗)) 𝑀_𝑖𝑗</a:t>
              </a:r>
              <a:endParaRPr lang="en-US" sz="1200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>
    <xdr:from>
      <xdr:col>2</xdr:col>
      <xdr:colOff>1176130</xdr:colOff>
      <xdr:row>3</xdr:row>
      <xdr:rowOff>997926</xdr:rowOff>
    </xdr:from>
    <xdr:to>
      <xdr:col>17</xdr:col>
      <xdr:colOff>3374</xdr:colOff>
      <xdr:row>3</xdr:row>
      <xdr:rowOff>1654771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26">
              <a:extLst>
                <a:ext uri="{FF2B5EF4-FFF2-40B4-BE49-F238E27FC236}">
                  <a16:creationId xmlns:a16="http://schemas.microsoft.com/office/drawing/2014/main" id="{A829D8A0-7F26-463D-A09B-EC5A92AFD855}"/>
                </a:ext>
              </a:extLst>
            </xdr:cNvPr>
            <xdr:cNvSpPr txBox="1"/>
          </xdr:nvSpPr>
          <xdr:spPr>
            <a:xfrm>
              <a:off x="3255065" y="1635687"/>
              <a:ext cx="5536157" cy="65684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just">
                <a:spcAft>
                  <a:spcPts val="0"/>
                </a:spcAft>
              </a:pPr>
              <a:r>
                <a:rPr lang="en-US" sz="1200" i="1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where</a:t>
              </a:r>
            </a:p>
            <a:p>
              <a:pPr algn="just">
                <a:spcAft>
                  <a:spcPts val="0"/>
                </a:spcAft>
              </a:pPr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the Minor ,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𝑀</m:t>
                      </m:r>
                    </m:e>
                    <m:sub>
                      <m: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𝑖𝑗</m:t>
                      </m:r>
                    </m:sub>
                  </m:sSub>
                </m:oMath>
              </a14:m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, of entry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𝑎</m:t>
                      </m:r>
                    </m:e>
                    <m:sub>
                      <m: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𝑖𝑗</m:t>
                      </m:r>
                    </m:sub>
                  </m:sSub>
                </m:oMath>
              </a14:m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is the determinant of the submatrix that remains after the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200" b="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𝑖</m:t>
                      </m:r>
                    </m:e>
                    <m:sup>
                      <m:r>
                        <a:rPr lang="en-US" sz="1200" b="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𝑡h</m:t>
                      </m:r>
                    </m:sup>
                  </m:sSup>
                </m:oMath>
              </a14:m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row and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200" b="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𝑗</m:t>
                      </m:r>
                    </m:e>
                    <m:sup>
                      <m: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𝑡h</m:t>
                      </m:r>
                    </m:sup>
                  </m:sSup>
                  <m:r>
                    <a:rPr lang="en-US" sz="1200" i="1">
                      <a:solidFill>
                        <a:srgbClr val="FF0000"/>
                      </a:solidFill>
                      <a:latin typeface="Cambria Math" panose="02040503050406030204" pitchFamily="18" charset="0"/>
                    </a:rPr>
                    <m:t> </m:t>
                  </m:r>
                </m:oMath>
              </a14:m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column are deleted from </a:t>
              </a:r>
              <a14:m>
                <m:oMath xmlns:m="http://schemas.openxmlformats.org/officeDocument/2006/math">
                  <m:d>
                    <m:dPr>
                      <m:begChr m:val="["/>
                      <m:endChr m:val="]"/>
                      <m:ctrlP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20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𝐴</m:t>
                      </m:r>
                    </m:e>
                  </m:d>
                </m:oMath>
              </a14:m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.</a:t>
              </a:r>
            </a:p>
          </xdr:txBody>
        </xdr:sp>
      </mc:Choice>
      <mc:Fallback xmlns="">
        <xdr:sp macro="" textlink="">
          <xdr:nvSpPr>
            <xdr:cNvPr id="13" name="TextBox 26">
              <a:extLst>
                <a:ext uri="{FF2B5EF4-FFF2-40B4-BE49-F238E27FC236}">
                  <a16:creationId xmlns:a16="http://schemas.microsoft.com/office/drawing/2014/main" id="{A829D8A0-7F26-463D-A09B-EC5A92AFD855}"/>
                </a:ext>
              </a:extLst>
            </xdr:cNvPr>
            <xdr:cNvSpPr txBox="1"/>
          </xdr:nvSpPr>
          <xdr:spPr>
            <a:xfrm>
              <a:off x="3255065" y="1635687"/>
              <a:ext cx="5536157" cy="65684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just">
                <a:spcAft>
                  <a:spcPts val="0"/>
                </a:spcAft>
              </a:pPr>
              <a:r>
                <a:rPr lang="en-US" sz="1200" i="1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where</a:t>
              </a:r>
            </a:p>
            <a:p>
              <a:pPr algn="just">
                <a:spcAft>
                  <a:spcPts val="0"/>
                </a:spcAft>
              </a:pPr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the Minor , 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𝑀_𝑖𝑗</a:t>
              </a:r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, of entry 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𝑎_𝑖𝑗</a:t>
              </a:r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is the determinant of the submatrix that remains after the 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𝑖^𝑡ℎ</a:t>
              </a:r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row and </a:t>
              </a:r>
              <a:r>
                <a:rPr lang="en-US" sz="12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𝑗^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𝑡ℎ  </a:t>
              </a:r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column are deleted from </a:t>
              </a:r>
              <a:r>
                <a:rPr lang="en-US" sz="12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[𝐴]</a:t>
              </a:r>
              <a:r>
                <a:rPr lang="en-US" sz="1200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115956</xdr:colOff>
      <xdr:row>5</xdr:row>
      <xdr:rowOff>182217</xdr:rowOff>
    </xdr:from>
    <xdr:ext cx="382028" cy="4383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E4B516-8EE0-4951-86A2-4FBA08F11C5B}"/>
                </a:ext>
              </a:extLst>
            </xdr:cNvPr>
            <xdr:cNvSpPr txBox="1"/>
          </xdr:nvSpPr>
          <xdr:spPr>
            <a:xfrm>
              <a:off x="5488056" y="2001492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E4B516-8EE0-4951-86A2-4FBA08F11C5B}"/>
                </a:ext>
              </a:extLst>
            </xdr:cNvPr>
            <xdr:cNvSpPr txBox="1"/>
          </xdr:nvSpPr>
          <xdr:spPr>
            <a:xfrm>
              <a:off x="5488056" y="2001492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←</a:t>
              </a:r>
              <a:endParaRPr lang="en-US" sz="2800"/>
            </a:p>
          </xdr:txBody>
        </xdr:sp>
      </mc:Fallback>
    </mc:AlternateContent>
    <xdr:clientData/>
  </xdr:oneCellAnchor>
  <xdr:twoCellAnchor>
    <xdr:from>
      <xdr:col>3</xdr:col>
      <xdr:colOff>16565</xdr:colOff>
      <xdr:row>3</xdr:row>
      <xdr:rowOff>504473</xdr:rowOff>
    </xdr:from>
    <xdr:to>
      <xdr:col>15</xdr:col>
      <xdr:colOff>173935</xdr:colOff>
      <xdr:row>3</xdr:row>
      <xdr:rowOff>769033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20">
              <a:extLst>
                <a:ext uri="{FF2B5EF4-FFF2-40B4-BE49-F238E27FC236}">
                  <a16:creationId xmlns:a16="http://schemas.microsoft.com/office/drawing/2014/main" id="{F0963AB4-2E70-45FB-82C7-211614D60E19}"/>
                </a:ext>
              </a:extLst>
            </xdr:cNvPr>
            <xdr:cNvSpPr txBox="1"/>
          </xdr:nvSpPr>
          <xdr:spPr>
            <a:xfrm>
              <a:off x="3279913" y="1142234"/>
              <a:ext cx="5209761" cy="264560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det</m:t>
                        </m:r>
                      </m:fName>
                      <m:e>
                        <m:d>
                          <m:dPr>
                            <m:ctrlPr>
                              <a:rPr lang="en-US" sz="11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</m:d>
                      </m:e>
                    </m:func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|"/>
                        <m:endChr m:val="|"/>
                        <m:ctrlPr>
                          <a:rPr lang="en-US" sz="11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11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</m:d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5" name="TextBox 20">
              <a:extLst>
                <a:ext uri="{FF2B5EF4-FFF2-40B4-BE49-F238E27FC236}">
                  <a16:creationId xmlns:a16="http://schemas.microsoft.com/office/drawing/2014/main" id="{F0963AB4-2E70-45FB-82C7-211614D60E19}"/>
                </a:ext>
              </a:extLst>
            </xdr:cNvPr>
            <xdr:cNvSpPr txBox="1"/>
          </xdr:nvSpPr>
          <xdr:spPr>
            <a:xfrm>
              <a:off x="3279913" y="1142234"/>
              <a:ext cx="5209761" cy="264560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det⁡(𝐴)=|[𝐴]|</a:t>
              </a:r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=(𝑎</a:t>
              </a:r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×𝑑)−(𝑏×𝑐)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3</xdr:col>
      <xdr:colOff>16565</xdr:colOff>
      <xdr:row>3</xdr:row>
      <xdr:rowOff>66260</xdr:rowOff>
    </xdr:from>
    <xdr:to>
      <xdr:col>15</xdr:col>
      <xdr:colOff>173935</xdr:colOff>
      <xdr:row>3</xdr:row>
      <xdr:rowOff>675081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9">
              <a:extLst>
                <a:ext uri="{FF2B5EF4-FFF2-40B4-BE49-F238E27FC236}">
                  <a16:creationId xmlns:a16="http://schemas.microsoft.com/office/drawing/2014/main" id="{42C1C092-C203-49B7-B955-6C9EDC3AC6D4}"/>
                </a:ext>
              </a:extLst>
            </xdr:cNvPr>
            <xdr:cNvSpPr txBox="1"/>
          </xdr:nvSpPr>
          <xdr:spPr>
            <a:xfrm>
              <a:off x="3279913" y="704021"/>
              <a:ext cx="5209761" cy="608821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8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d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2"/>
                                  <m:mcJc m:val="center"/>
                                </m:mcPr>
                              </m:mc>
                            </m:mcs>
                            <m:ctrlPr>
                              <a:rPr lang="en-US" sz="11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n-US" sz="110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e>
                            <m:e>
                              <m:r>
                                <a:rPr lang="en-US" sz="110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e>
                          </m:mr>
                          <m:mr>
                            <m:e>
                              <m:r>
                                <a:rPr lang="en-US" sz="110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𝑐</m:t>
                              </m:r>
                            </m:e>
                            <m:e>
                              <m:r>
                                <a:rPr lang="en-US" sz="110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𝑑</m:t>
                              </m:r>
                            </m:e>
                          </m:mr>
                        </m:m>
                      </m:e>
                    </m:d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𝑖𝑠</m:t>
                    </m:r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2×2 </m:t>
                    </m:r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𝑀𝑎𝑡𝑟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</m:t>
                    </m:r>
                    <m:r>
                      <a:rPr lang="en-US" sz="110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 i="1">
                <a:solidFill>
                  <a:srgbClr val="FF0000"/>
                </a:solidFill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" name="TextBox 19">
              <a:extLst>
                <a:ext uri="{FF2B5EF4-FFF2-40B4-BE49-F238E27FC236}">
                  <a16:creationId xmlns:a16="http://schemas.microsoft.com/office/drawing/2014/main" id="{42C1C092-C203-49B7-B955-6C9EDC3AC6D4}"/>
                </a:ext>
              </a:extLst>
            </xdr:cNvPr>
            <xdr:cNvSpPr txBox="1"/>
          </xdr:nvSpPr>
          <xdr:spPr>
            <a:xfrm>
              <a:off x="3279913" y="704021"/>
              <a:ext cx="5209761" cy="608821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800"/>
                </a:spcAft>
              </a:pPr>
              <a:r>
                <a:rPr lang="en-US" sz="11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𝐼𝑓  [𝐴]=[■8(𝑎&amp;𝑏@𝑐&amp;𝑑)]𝑖𝑠 𝑎 2×2 </a:t>
              </a:r>
              <a:r>
                <a:rPr lang="en-US" sz="110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𝑀𝑎𝑡𝑟</a:t>
              </a:r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n-US" sz="110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endParaRPr lang="en-US" sz="1100" i="1">
                <a:solidFill>
                  <a:srgbClr val="FF0000"/>
                </a:solidFill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56321</xdr:colOff>
      <xdr:row>6</xdr:row>
      <xdr:rowOff>81169</xdr:rowOff>
    </xdr:from>
    <xdr:ext cx="382028" cy="4383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8C22108-FD30-489D-8C43-384AFE2E9ADE}"/>
                </a:ext>
              </a:extLst>
            </xdr:cNvPr>
            <xdr:cNvSpPr txBox="1"/>
          </xdr:nvSpPr>
          <xdr:spPr>
            <a:xfrm>
              <a:off x="5887278" y="3642691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8C22108-FD30-489D-8C43-384AFE2E9ADE}"/>
                </a:ext>
              </a:extLst>
            </xdr:cNvPr>
            <xdr:cNvSpPr txBox="1"/>
          </xdr:nvSpPr>
          <xdr:spPr>
            <a:xfrm>
              <a:off x="5887278" y="3642691"/>
              <a:ext cx="382028" cy="438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←</a:t>
              </a:r>
              <a:endParaRPr lang="en-US" sz="2800"/>
            </a:p>
          </xdr:txBody>
        </xdr:sp>
      </mc:Fallback>
    </mc:AlternateContent>
    <xdr:clientData/>
  </xdr:oneCellAnchor>
  <xdr:twoCellAnchor>
    <xdr:from>
      <xdr:col>3</xdr:col>
      <xdr:colOff>606</xdr:colOff>
      <xdr:row>3</xdr:row>
      <xdr:rowOff>16566</xdr:rowOff>
    </xdr:from>
    <xdr:to>
      <xdr:col>24</xdr:col>
      <xdr:colOff>182217</xdr:colOff>
      <xdr:row>3</xdr:row>
      <xdr:rowOff>516255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42">
              <a:extLst>
                <a:ext uri="{FF2B5EF4-FFF2-40B4-BE49-F238E27FC236}">
                  <a16:creationId xmlns:a16="http://schemas.microsoft.com/office/drawing/2014/main" id="{ED3ED25A-E871-4867-8FA9-8FA6E2671DAE}"/>
                </a:ext>
              </a:extLst>
            </xdr:cNvPr>
            <xdr:cNvSpPr txBox="1"/>
          </xdr:nvSpPr>
          <xdr:spPr>
            <a:xfrm>
              <a:off x="3263954" y="654327"/>
              <a:ext cx="5523893" cy="499689"/>
            </a:xfrm>
            <a:prstGeom prst="rect">
              <a:avLst/>
            </a:prstGeom>
            <a:noFill/>
            <a:ln>
              <a:noFill/>
            </a:ln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 </m:t>
                    </m:r>
                    <m:d>
                      <m:dPr>
                        <m:begChr m:val="["/>
                        <m:endChr m:val="]"/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d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3"/>
                                  <m:mcJc m:val="center"/>
                                </m:mcPr>
                              </m:mc>
                            </m:mcs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11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12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21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23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en-US" sz="100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00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e>
                                <m:sub>
                                  <m:r>
                                    <a:rPr lang="en-US" sz="10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33</m:t>
                                  </m:r>
                                </m:sub>
                              </m:sSub>
                            </m:e>
                          </m:mr>
                        </m:m>
                      </m:e>
                    </m:d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𝑖𝑠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3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3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𝑀𝑎𝑡𝑟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00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0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" name="TextBox 42">
              <a:extLst>
                <a:ext uri="{FF2B5EF4-FFF2-40B4-BE49-F238E27FC236}">
                  <a16:creationId xmlns:a16="http://schemas.microsoft.com/office/drawing/2014/main" id="{ED3ED25A-E871-4867-8FA9-8FA6E2671DAE}"/>
                </a:ext>
              </a:extLst>
            </xdr:cNvPr>
            <xdr:cNvSpPr txBox="1"/>
          </xdr:nvSpPr>
          <xdr:spPr>
            <a:xfrm>
              <a:off x="3263954" y="654327"/>
              <a:ext cx="5523893" cy="499689"/>
            </a:xfrm>
            <a:prstGeom prst="rect">
              <a:avLst/>
            </a:prstGeom>
            <a:noFill/>
            <a:ln>
              <a:noFill/>
            </a:ln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𝐼𝑓  [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𝐴]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=[■8(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𝑎_11&amp;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𝑎_12&amp;𝑎_1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3@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𝑎_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21&amp;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𝑎_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2&amp;𝑎_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23@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𝑎_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1&amp;𝑎_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2&amp;𝑎_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33 )]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𝑖𝑠 𝑎 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×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 𝑀𝑎𝑡𝑟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𝑖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𝑥</a:t>
              </a:r>
              <a:endParaRPr lang="en-US" sz="10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>
    <xdr:from>
      <xdr:col>3</xdr:col>
      <xdr:colOff>0</xdr:colOff>
      <xdr:row>3</xdr:row>
      <xdr:rowOff>450710</xdr:rowOff>
    </xdr:from>
    <xdr:to>
      <xdr:col>25</xdr:col>
      <xdr:colOff>0</xdr:colOff>
      <xdr:row>3</xdr:row>
      <xdr:rowOff>690519</xdr:rowOff>
    </xdr:to>
    <xdr:sp macro="" textlink="">
      <xdr:nvSpPr>
        <xdr:cNvPr id="8" name="TextBox 20">
          <a:extLst>
            <a:ext uri="{FF2B5EF4-FFF2-40B4-BE49-F238E27FC236}">
              <a16:creationId xmlns:a16="http://schemas.microsoft.com/office/drawing/2014/main" id="{F138FFC4-CFD6-43AD-9B7C-BE155A6E8060}"/>
            </a:ext>
          </a:extLst>
        </xdr:cNvPr>
        <xdr:cNvSpPr txBox="1"/>
      </xdr:nvSpPr>
      <xdr:spPr>
        <a:xfrm>
          <a:off x="3263348" y="1088471"/>
          <a:ext cx="5524500" cy="239809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Write down first two columns after 3</a:t>
          </a:r>
          <a:r>
            <a:rPr lang="en-US" sz="1000" baseline="30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rd</a:t>
          </a:r>
          <a:r>
            <a:rPr lang="en-US" sz="1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column as follows:</a:t>
          </a:r>
          <a:endParaRPr lang="en-US" sz="1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66261</xdr:colOff>
      <xdr:row>3</xdr:row>
      <xdr:rowOff>1408040</xdr:rowOff>
    </xdr:from>
    <xdr:to>
      <xdr:col>24</xdr:col>
      <xdr:colOff>207065</xdr:colOff>
      <xdr:row>3</xdr:row>
      <xdr:rowOff>2198641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51">
              <a:extLst>
                <a:ext uri="{FF2B5EF4-FFF2-40B4-BE49-F238E27FC236}">
                  <a16:creationId xmlns:a16="http://schemas.microsoft.com/office/drawing/2014/main" id="{08EB591D-2ABA-4F70-885C-D1AD8800E740}"/>
                </a:ext>
              </a:extLst>
            </xdr:cNvPr>
            <xdr:cNvSpPr txBox="1"/>
          </xdr:nvSpPr>
          <xdr:spPr>
            <a:xfrm>
              <a:off x="2824370" y="2045801"/>
              <a:ext cx="7868478" cy="790601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Aft>
                  <a:spcPts val="600"/>
                </a:spcAft>
              </a:pP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Now </a:t>
              </a:r>
            </a:p>
            <a:p>
              <a:pPr algn="ctr">
                <a:spcAft>
                  <a:spcPts val="600"/>
                </a:spcAft>
              </a:pP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det (A) = Sum of products along </a:t>
              </a:r>
              <a:r>
                <a:rPr lang="en-US" sz="1050" b="1">
                  <a:solidFill>
                    <a:srgbClr val="00B05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green arrows</a:t>
              </a: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</a:t>
              </a:r>
              <a:r>
                <a:rPr lang="en-US" sz="105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minus </a:t>
              </a: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sum of products along </a:t>
              </a:r>
              <a:r>
                <a:rPr lang="en-US" sz="105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red arrows</a:t>
              </a:r>
            </a:p>
            <a:p>
              <a:pPr algn="ctr">
                <a:spcAft>
                  <a:spcPts val="6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kumimoji="0" lang="en-US" sz="1050" b="0" i="0" u="none" strike="noStrike" kern="1200" cap="none" spc="0" normalizeH="0" baseline="0" noProof="0" dirty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rPr>
                      <m:t>det</m:t>
                    </m:r>
                    <m:r>
                      <m:rPr>
                        <m:nor/>
                      </m:rPr>
                      <a:rPr kumimoji="0" lang="en-US" sz="1050" b="0" i="0" u="none" strike="noStrike" kern="1200" cap="none" spc="0" normalizeH="0" baseline="0" noProof="0" dirty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rPr>
                      <m:t> (</m:t>
                    </m:r>
                    <m:r>
                      <m:rPr>
                        <m:nor/>
                      </m:rPr>
                      <a:rPr kumimoji="0" lang="en-US" sz="1050" b="0" i="0" u="none" strike="noStrike" kern="1200" cap="none" spc="0" normalizeH="0" baseline="0" noProof="0" dirty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rPr>
                      <m:t>A</m:t>
                    </m:r>
                    <m:r>
                      <m:rPr>
                        <m:nor/>
                      </m:rPr>
                      <a:rPr kumimoji="0" lang="en-US" sz="1050" b="0" i="0" u="none" strike="noStrike" kern="1200" cap="none" spc="0" normalizeH="0" baseline="0" noProof="0" dirty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rPr>
                      <m:t>) =</m:t>
                    </m:r>
                    <m:d>
                      <m:dPr>
                        <m:ctrlPr>
                          <a:rPr kumimoji="0" lang="en-US" sz="1050" b="0" i="1" u="none" strike="noStrike" kern="1200" cap="none" spc="0" normalizeH="0" baseline="0" noProof="0" dirty="0" smtClean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Times New Roman" panose="020206030504050203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11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22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33</m:t>
                            </m:r>
                          </m:sub>
                        </m:sSub>
                        <m:r>
                          <a:rPr kumimoji="0" lang="en-US" sz="1050" b="0" i="1" u="none" strike="noStrike" kern="1200" cap="none" spc="0" normalizeH="0" baseline="0" noProof="0" dirty="0" smtClean="0">
                            <a:ln>
                              <a:noFill/>
                            </a:ln>
                            <a:solidFill>
                              <a:srgbClr val="00B05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Times New Roman" panose="020206030504050203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3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3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kumimoji="0" lang="en-US" sz="1050" b="0" i="1" u="none" strike="noStrike" kern="1200" cap="none" spc="0" normalizeH="0" baseline="0" noProof="0" dirty="0" smtClean="0">
                            <a:ln>
                              <a:noFill/>
                            </a:ln>
                            <a:solidFill>
                              <a:srgbClr val="00B05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Times New Roman" panose="020206030504050203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3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3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00B05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kumimoji="0" lang="en-US" sz="1050" b="0" i="1" u="none" strike="noStrike" kern="1200" cap="none" spc="0" normalizeH="0" baseline="0" noProof="0" dirty="0" smtClean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Times New Roman" panose="02020603050405020304" pitchFamily="18" charset="0"/>
                      </a:rPr>
                      <m:t>−</m:t>
                    </m:r>
                    <m:d>
                      <m:dPr>
                        <m:ctrlPr>
                          <a:rPr kumimoji="0" lang="en-US" sz="1050" b="0" i="1" u="none" strike="noStrike" kern="1200" cap="none" spc="0" normalizeH="0" baseline="0" noProof="0" dirty="0" smtClean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Times New Roman" panose="020206030504050203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13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22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31</m:t>
                            </m:r>
                          </m:sub>
                        </m:sSub>
                        <m:r>
                          <a:rPr kumimoji="0" lang="en-US" sz="1050" b="0" i="1" u="none" strike="noStrike" kern="1200" cap="none" spc="0" normalizeH="0" baseline="0" noProof="0" dirty="0" smtClean="0">
                            <a:ln>
                              <a:noFill/>
                            </a:ln>
                            <a:solidFill>
                              <a:srgbClr val="FF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Times New Roman" panose="020206030504050203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kumimoji="0" lang="en-US" sz="1050" b="0" i="1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</m:ctrlPr>
                              </m:sSubPr>
                              <m:e>
                                <m:r>
                                  <a:rPr kumimoji="0" lang="en-US" sz="1050" b="0" i="0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kumimoji="0" lang="en-US" sz="1050" b="0" i="0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  <m:t>11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kumimoji="0" lang="en-US" sz="1050" b="0" i="1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</m:ctrlPr>
                              </m:sSubPr>
                              <m:e>
                                <m:r>
                                  <a:rPr kumimoji="0" lang="en-US" sz="1050" b="0" i="0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kumimoji="0" lang="en-US" sz="1050" b="0" i="0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  <m:t>23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kumimoji="0" lang="en-US" sz="1050" b="0" i="1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</m:ctrlPr>
                              </m:sSubPr>
                              <m:e>
                                <m:r>
                                  <a:rPr kumimoji="0" lang="en-US" sz="1050" b="0" i="0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kumimoji="0" lang="en-US" sz="1050" b="0" i="0" u="none" strike="noStrike" kern="1200" cap="none" spc="0" normalizeH="0" baseline="0" noProof="0" dirty="0">
                                    <a:ln>
                                      <a:noFill/>
                                    </a:ln>
                                    <a:solidFill>
                                      <a:srgbClr val="FF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Times New Roman" panose="02020603050405020304" pitchFamily="18" charset="0"/>
                                  </a:rPr>
                                  <m:t>32</m:t>
                                </m:r>
                              </m:sub>
                            </m:sSub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+</m:t>
                            </m:r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2</m:t>
                            </m:r>
                            <m:r>
                              <a:rPr kumimoji="0" lang="en-US" sz="1050" b="0" i="1" u="none" strike="noStrike" kern="1200" cap="none" spc="0" normalizeH="0" baseline="0" noProof="0" dirty="0" smtClean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kumimoji="0" lang="en-US" sz="1050" b="0" i="1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</m:ctrlPr>
                          </m:sSubPr>
                          <m:e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kumimoji="0" lang="en-US" sz="1050" b="0" i="0" u="none" strike="noStrike" kern="1200" cap="none" spc="0" normalizeH="0" baseline="0" noProof="0" dirty="0">
                                <a:ln>
                                  <a:noFill/>
                                </a:ln>
                                <a:solidFill>
                                  <a:srgbClr val="FF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Times New Roman" panose="02020603050405020304" pitchFamily="18" charset="0"/>
                              </a:rPr>
                              <m:t>33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05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1" name="TextBox 51">
              <a:extLst>
                <a:ext uri="{FF2B5EF4-FFF2-40B4-BE49-F238E27FC236}">
                  <a16:creationId xmlns:a16="http://schemas.microsoft.com/office/drawing/2014/main" id="{08EB591D-2ABA-4F70-885C-D1AD8800E740}"/>
                </a:ext>
              </a:extLst>
            </xdr:cNvPr>
            <xdr:cNvSpPr txBox="1"/>
          </xdr:nvSpPr>
          <xdr:spPr>
            <a:xfrm>
              <a:off x="2824370" y="2045801"/>
              <a:ext cx="7868478" cy="790601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Aft>
                  <a:spcPts val="600"/>
                </a:spcAft>
              </a:pP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Now </a:t>
              </a:r>
            </a:p>
            <a:p>
              <a:pPr algn="ctr">
                <a:spcAft>
                  <a:spcPts val="600"/>
                </a:spcAft>
              </a:pP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det (A) = Sum of products along </a:t>
              </a:r>
              <a:r>
                <a:rPr lang="en-US" sz="1050" b="1">
                  <a:solidFill>
                    <a:srgbClr val="00B05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green arrows</a:t>
              </a: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</a:t>
              </a:r>
              <a:r>
                <a:rPr lang="en-US" sz="105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minus </a:t>
              </a:r>
              <a:r>
                <a:rPr lang="en-US" sz="105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sum of products along </a:t>
              </a:r>
              <a:r>
                <a:rPr lang="en-US" sz="105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red arrows</a:t>
              </a:r>
            </a:p>
            <a:p>
              <a:pPr algn="ctr">
                <a:spcAft>
                  <a:spcPts val="600"/>
                </a:spcAft>
              </a:pPr>
              <a:r>
                <a:rPr kumimoji="0" lang="en-US" sz="1050" b="0" i="0" u="none" strike="noStrike" kern="1200" cap="none" spc="0" normalizeH="0" baseline="0" noProof="0" dirty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Times New Roman" panose="02020603050405020304" pitchFamily="18" charset="0"/>
                </a:rPr>
                <a:t>"det (A) =" (</a:t>
              </a:r>
              <a:r>
                <a:rPr kumimoji="0" lang="en-US" sz="1050" b="0" i="0" u="none" strike="noStrike" kern="1200" cap="none" spc="0" normalizeH="0" baseline="0" noProof="0" dirty="0">
                  <a:ln>
                    <a:noFill/>
                  </a:ln>
                  <a:solidFill>
                    <a:srgbClr val="00B05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Times New Roman" panose="02020603050405020304" pitchFamily="18" charset="0"/>
                </a:rPr>
                <a:t>𝑎_11 𝑎_22 𝑎_33+𝑎_12 𝑎_23 𝑎_31+𝑎_13 𝑎_21 𝑎_32 )</a:t>
              </a:r>
              <a:r>
                <a:rPr kumimoji="0" lang="en-US" sz="1050" b="0" i="0" u="none" strike="noStrike" kern="1200" cap="none" spc="0" normalizeH="0" baseline="0" noProof="0" dirty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Times New Roman" panose="02020603050405020304" pitchFamily="18" charset="0"/>
                </a:rPr>
                <a:t>−(</a:t>
              </a:r>
              <a:r>
                <a:rPr kumimoji="0" lang="en-US" sz="1050" b="0" i="0" u="none" strike="noStrike" kern="1200" cap="none" spc="0" normalizeH="0" baseline="0" noProof="0" dirty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Times New Roman" panose="02020603050405020304" pitchFamily="18" charset="0"/>
                </a:rPr>
                <a:t>𝑎_13 𝑎_22 𝑎_31+〖𝑎_11 𝑎_23 𝑎_32+𝑎〗_12 𝑎_21 𝑎_33 )</a:t>
              </a:r>
              <a:endParaRPr lang="en-US" sz="105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 editAs="oneCell">
    <xdr:from>
      <xdr:col>7</xdr:col>
      <xdr:colOff>149087</xdr:colOff>
      <xdr:row>3</xdr:row>
      <xdr:rowOff>438981</xdr:rowOff>
    </xdr:from>
    <xdr:to>
      <xdr:col>16</xdr:col>
      <xdr:colOff>220477</xdr:colOff>
      <xdr:row>3</xdr:row>
      <xdr:rowOff>1358350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EB1BD4D-693B-4DF7-8516-E0E132D3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66522" y="1076742"/>
          <a:ext cx="3707455" cy="9193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pvKLtpD2zHI" TargetMode="External"/><Relationship Id="rId2" Type="http://schemas.openxmlformats.org/officeDocument/2006/relationships/hyperlink" Target="http://www.youtube.com/@ItisSoftInfo" TargetMode="External"/><Relationship Id="rId1" Type="http://schemas.openxmlformats.org/officeDocument/2006/relationships/hyperlink" Target="http://www.youtube.com/ItisSoftInfo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pvKLtpD2zHI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68CD-DA16-4FED-AF46-D4DF5007ED78}">
  <sheetPr codeName="Sheet1"/>
  <dimension ref="A2:D16"/>
  <sheetViews>
    <sheetView tabSelected="1" zoomScale="175" zoomScaleNormal="175" workbookViewId="0">
      <selection activeCell="D9" sqref="D9"/>
    </sheetView>
  </sheetViews>
  <sheetFormatPr defaultRowHeight="15.75" x14ac:dyDescent="0.25"/>
  <cols>
    <col min="1" max="1" width="9.140625" style="1"/>
    <col min="2" max="2" width="65" style="22" customWidth="1"/>
    <col min="3" max="3" width="14.42578125" style="1" customWidth="1"/>
    <col min="4" max="4" width="54.140625" style="1" customWidth="1"/>
    <col min="5" max="5" width="9.140625" style="1" customWidth="1"/>
    <col min="6" max="16384" width="9.140625" style="1"/>
  </cols>
  <sheetData>
    <row r="2" spans="1:4" ht="20.25" x14ac:dyDescent="0.25">
      <c r="B2" s="25" t="s">
        <v>6</v>
      </c>
      <c r="C2" s="42" t="s">
        <v>7</v>
      </c>
      <c r="D2" s="42"/>
    </row>
    <row r="3" spans="1:4" ht="20.25" x14ac:dyDescent="0.25">
      <c r="B3" s="25"/>
      <c r="C3" s="23"/>
      <c r="D3" s="24"/>
    </row>
    <row r="4" spans="1:4" ht="20.25" x14ac:dyDescent="0.25">
      <c r="B4" s="26" t="s">
        <v>33</v>
      </c>
      <c r="C4" s="23"/>
      <c r="D4" s="26" t="s">
        <v>34</v>
      </c>
    </row>
    <row r="5" spans="1:4" ht="16.5" thickBot="1" x14ac:dyDescent="0.3"/>
    <row r="6" spans="1:4" ht="21.95" customHeight="1" thickTop="1" x14ac:dyDescent="0.25">
      <c r="B6" s="31" t="s">
        <v>8</v>
      </c>
      <c r="D6" s="31" t="s">
        <v>9</v>
      </c>
    </row>
    <row r="7" spans="1:4" ht="21.95" customHeight="1" thickBot="1" x14ac:dyDescent="0.3">
      <c r="A7" s="2"/>
      <c r="B7" s="3" t="s">
        <v>5</v>
      </c>
      <c r="D7" s="3" t="s">
        <v>5</v>
      </c>
    </row>
    <row r="8" spans="1:4" ht="21.95" customHeight="1" thickTop="1" x14ac:dyDescent="0.25">
      <c r="A8" s="33"/>
      <c r="B8" s="35" t="s">
        <v>10</v>
      </c>
      <c r="C8" s="34"/>
      <c r="D8" s="35" t="s">
        <v>12</v>
      </c>
    </row>
    <row r="9" spans="1:4" ht="21.95" customHeight="1" thickBot="1" x14ac:dyDescent="0.3">
      <c r="A9" s="33"/>
      <c r="B9" s="36" t="s">
        <v>11</v>
      </c>
      <c r="C9" s="34"/>
      <c r="D9" s="36" t="s">
        <v>13</v>
      </c>
    </row>
    <row r="10" spans="1:4" ht="21.95" customHeight="1" thickTop="1" x14ac:dyDescent="0.25">
      <c r="A10" s="2"/>
      <c r="B10" s="1"/>
    </row>
    <row r="11" spans="1:4" ht="17.100000000000001" customHeight="1" x14ac:dyDescent="0.25"/>
    <row r="12" spans="1:4" ht="17.100000000000001" customHeight="1" x14ac:dyDescent="0.25"/>
    <row r="13" spans="1:4" ht="17.100000000000001" customHeight="1" x14ac:dyDescent="0.25"/>
    <row r="14" spans="1:4" ht="17.100000000000001" customHeight="1" x14ac:dyDescent="0.25"/>
    <row r="15" spans="1:4" ht="17.100000000000001" customHeight="1" x14ac:dyDescent="0.25"/>
    <row r="16" spans="1:4" ht="17.100000000000001" customHeight="1" x14ac:dyDescent="0.25"/>
  </sheetData>
  <sheetProtection algorithmName="SHA-512" hashValue="x3OeV2wKB/rdRyF/fTkUqWvrt+fcndbFsSMaep44+hslgEHbGV/TFl8pHGS0PKDtQ/5j1+Ip33BiM/cwHC4nMg==" saltValue="lgbkn7ee2klfcR8WlzmIRw==" spinCount="100000" sheet="1" objects="1" scenarios="1"/>
  <mergeCells count="1">
    <mergeCell ref="C2:D2"/>
  </mergeCells>
  <hyperlinks>
    <hyperlink ref="C2" r:id="rId1" display="www.youtube.com/ItisSoftInfo" xr:uid="{5CCF74C2-6791-41D5-B8C8-50EED564F4C8}"/>
    <hyperlink ref="B8" location="'Cofactor of 2x2 Matrix'!A1" display="Cofactor of 2x2 Matrix" xr:uid="{F3016507-85A4-470E-B04F-6A3939360FAD}"/>
    <hyperlink ref="B9" location="'Cofactor of 3x3 Matrix'!A1" display="Cofactor of 3x3 Matrix" xr:uid="{6D278876-1BB7-4E72-8CD8-E0C65269171A}"/>
    <hyperlink ref="D8" location="'Determinant of 2x2 Matrix'!A1" display="Determinant of 2x2 Matrix" xr:uid="{234579C9-EEA0-49F6-BA27-B09A73B2BCE4}"/>
    <hyperlink ref="D9" location="'Determinant of 3x3 Matrix'!A1" display="Determinant of 3x3 Matrix" xr:uid="{17E45A6E-0BE9-4387-8142-F8677E21C9AA}"/>
    <hyperlink ref="C2:D2" r:id="rId2" display="http://www.youtube.com/@ItisSoftInfo" xr:uid="{84F1E802-C041-4D39-BD31-B77E18BE093A}"/>
    <hyperlink ref="B4" r:id="rId3" xr:uid="{77B77372-41C7-493B-B9B0-115E59ECC743}"/>
    <hyperlink ref="D4" r:id="rId4" xr:uid="{F824E66F-3CB2-4212-A5B9-BB63575E8A05}"/>
  </hyperlinks>
  <pageMargins left="0.7" right="0.7" top="0.75" bottom="0.75" header="0.3" footer="0.3"/>
  <pageSetup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714A2-2CD8-480C-8FE6-ACCCC1DB8942}">
  <sheetPr codeName="Sheet27"/>
  <dimension ref="A1:R20"/>
  <sheetViews>
    <sheetView zoomScale="145" zoomScaleNormal="145" workbookViewId="0">
      <selection activeCell="E14" sqref="E14"/>
    </sheetView>
  </sheetViews>
  <sheetFormatPr defaultRowHeight="15.75" x14ac:dyDescent="0.25"/>
  <cols>
    <col min="1" max="1" width="3.42578125" style="38" customWidth="1"/>
    <col min="2" max="2" width="27.7109375" style="38" customWidth="1"/>
    <col min="3" max="3" width="17.7109375" style="38" customWidth="1"/>
    <col min="4" max="4" width="5.140625" style="38" bestFit="1" customWidth="1"/>
    <col min="5" max="6" width="10.7109375" style="38" customWidth="1"/>
    <col min="7" max="7" width="5.140625" style="38" bestFit="1" customWidth="1"/>
    <col min="8" max="9" width="5.140625" style="38" customWidth="1"/>
    <col min="10" max="12" width="5.7109375" style="38" customWidth="1"/>
    <col min="13" max="13" width="5.140625" style="38" bestFit="1" customWidth="1"/>
    <col min="14" max="14" width="6.7109375" style="38" customWidth="1"/>
    <col min="15" max="15" width="5.140625" style="38" bestFit="1" customWidth="1"/>
    <col min="16" max="16" width="7.7109375" style="38" customWidth="1"/>
    <col min="17" max="17" width="9.140625" style="38"/>
    <col min="18" max="18" width="19" style="38" customWidth="1"/>
    <col min="19" max="16384" width="9.140625" style="38"/>
  </cols>
  <sheetData>
    <row r="1" spans="1:18" ht="16.5" thickBot="1" x14ac:dyDescent="0.3"/>
    <row r="2" spans="1:18" ht="17.25" thickTop="1" thickBot="1" x14ac:dyDescent="0.3">
      <c r="B2" s="47" t="s">
        <v>10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9"/>
      <c r="Q2" s="4"/>
      <c r="R2" s="5" t="s">
        <v>4</v>
      </c>
    </row>
    <row r="3" spans="1:18" ht="17.25" thickTop="1" thickBot="1" x14ac:dyDescent="0.3">
      <c r="B3" s="6"/>
      <c r="C3" s="6"/>
    </row>
    <row r="4" spans="1:18" ht="75" customHeight="1" thickTop="1" thickBot="1" x14ac:dyDescent="0.3">
      <c r="A4" s="7"/>
      <c r="B4" s="16" t="s">
        <v>14</v>
      </c>
      <c r="C4" s="21" t="s">
        <v>0</v>
      </c>
      <c r="D4" s="50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2"/>
    </row>
    <row r="5" spans="1:18" ht="17.25" thickTop="1" thickBot="1" x14ac:dyDescent="0.3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8" ht="17.100000000000001" customHeight="1" thickTop="1" thickBot="1" x14ac:dyDescent="0.3">
      <c r="A6" s="7"/>
      <c r="P6" s="9"/>
    </row>
    <row r="7" spans="1:18" ht="17.100000000000001" customHeight="1" x14ac:dyDescent="0.25">
      <c r="A7" s="7"/>
      <c r="B7" s="46" t="str">
        <f>_xlfn.CONCAT("Matrix ","[",C4,"]")</f>
        <v>Matrix [A]</v>
      </c>
      <c r="C7" s="44" t="s">
        <v>1</v>
      </c>
      <c r="D7" s="45" t="s">
        <v>2</v>
      </c>
      <c r="E7" s="29">
        <v>0</v>
      </c>
      <c r="F7" s="29">
        <v>0</v>
      </c>
      <c r="G7" s="45" t="s">
        <v>3</v>
      </c>
      <c r="H7" s="53"/>
      <c r="I7" s="54"/>
      <c r="J7" s="55" t="str">
        <f>_xlfn.CONCAT("Enter values for Matrix [",C4,"] here")</f>
        <v>Enter values for Matrix [A] here</v>
      </c>
      <c r="K7" s="56"/>
      <c r="L7" s="56"/>
      <c r="M7" s="56"/>
      <c r="N7" s="56"/>
      <c r="O7" s="57"/>
      <c r="P7" s="7"/>
    </row>
    <row r="8" spans="1:18" ht="17.100000000000001" customHeight="1" thickBot="1" x14ac:dyDescent="0.3">
      <c r="A8" s="7"/>
      <c r="B8" s="46"/>
      <c r="C8" s="44"/>
      <c r="D8" s="45"/>
      <c r="E8" s="29">
        <v>0</v>
      </c>
      <c r="F8" s="29">
        <v>0</v>
      </c>
      <c r="G8" s="45"/>
      <c r="H8" s="53"/>
      <c r="I8" s="54"/>
      <c r="J8" s="58"/>
      <c r="K8" s="59"/>
      <c r="L8" s="59"/>
      <c r="M8" s="59"/>
      <c r="N8" s="59"/>
      <c r="O8" s="60"/>
      <c r="P8" s="7"/>
    </row>
    <row r="9" spans="1:18" ht="17.100000000000001" customHeight="1" x14ac:dyDescent="0.25">
      <c r="A9" s="7"/>
      <c r="E9" s="15"/>
      <c r="P9" s="7"/>
    </row>
    <row r="10" spans="1:18" ht="17.100000000000001" customHeight="1" x14ac:dyDescent="0.25">
      <c r="A10" s="7"/>
      <c r="E10" s="15"/>
      <c r="F10" s="19"/>
      <c r="P10" s="7"/>
    </row>
    <row r="11" spans="1:18" ht="17.100000000000001" customHeight="1" x14ac:dyDescent="0.25">
      <c r="A11" s="7"/>
      <c r="B11" s="46" t="str">
        <f>B7</f>
        <v>Matrix [A]</v>
      </c>
      <c r="C11" s="44" t="s">
        <v>1</v>
      </c>
      <c r="D11" s="45" t="s">
        <v>2</v>
      </c>
      <c r="E11" s="30" t="str">
        <f>_xlfn.CONCAT("a = ",E7)</f>
        <v>a = 0</v>
      </c>
      <c r="F11" s="30" t="str">
        <f>_xlfn.CONCAT("b = ",F7)</f>
        <v>b = 0</v>
      </c>
      <c r="G11" s="45" t="s">
        <v>3</v>
      </c>
      <c r="H11" s="11"/>
      <c r="I11" s="20"/>
      <c r="J11" s="17"/>
      <c r="K11" s="12"/>
      <c r="L11" s="14"/>
      <c r="M11" s="20"/>
      <c r="P11" s="7"/>
    </row>
    <row r="12" spans="1:18" ht="17.100000000000001" customHeight="1" x14ac:dyDescent="0.25">
      <c r="A12" s="7"/>
      <c r="B12" s="46"/>
      <c r="C12" s="44"/>
      <c r="D12" s="45"/>
      <c r="E12" s="30" t="str">
        <f>_xlfn.CONCAT("c = ",E8)</f>
        <v>c = 0</v>
      </c>
      <c r="F12" s="30" t="str">
        <f>_xlfn.CONCAT("d = ",F8)</f>
        <v>d = 0</v>
      </c>
      <c r="G12" s="45"/>
      <c r="H12" s="11"/>
      <c r="I12" s="20"/>
      <c r="J12" s="18"/>
      <c r="K12" s="41"/>
      <c r="L12" s="13"/>
      <c r="M12" s="20"/>
      <c r="P12" s="7"/>
    </row>
    <row r="13" spans="1:18" ht="17.100000000000001" customHeight="1" x14ac:dyDescent="0.25">
      <c r="A13" s="7"/>
      <c r="P13" s="7"/>
    </row>
    <row r="14" spans="1:18" ht="17.100000000000001" customHeight="1" x14ac:dyDescent="0.25">
      <c r="A14" s="7"/>
      <c r="B14" s="46" t="str">
        <f>_xlfn.CONCAT("Cofactor of Matrix ","[",C4,"]")</f>
        <v>Cofactor of Matrix [A]</v>
      </c>
      <c r="C14" s="44" t="s">
        <v>1</v>
      </c>
      <c r="D14" s="45" t="s">
        <v>2</v>
      </c>
      <c r="E14" s="30" t="str">
        <f>_xlfn.CONCAT("d = ",F8)</f>
        <v>d = 0</v>
      </c>
      <c r="F14" s="30" t="str">
        <f>_xlfn.CONCAT("c = ",-E8)</f>
        <v>c = 0</v>
      </c>
      <c r="G14" s="45" t="s">
        <v>3</v>
      </c>
      <c r="H14" s="11"/>
      <c r="I14" s="20"/>
      <c r="J14" s="17"/>
      <c r="K14" s="17"/>
      <c r="L14" s="17"/>
      <c r="M14" s="20"/>
      <c r="P14" s="7"/>
    </row>
    <row r="15" spans="1:18" ht="17.100000000000001" customHeight="1" x14ac:dyDescent="0.25">
      <c r="A15" s="7"/>
      <c r="B15" s="46"/>
      <c r="C15" s="44"/>
      <c r="D15" s="45"/>
      <c r="E15" s="30" t="str">
        <f>_xlfn.CONCAT("b = ",-F7)</f>
        <v>b = 0</v>
      </c>
      <c r="F15" s="30" t="str">
        <f>_xlfn.CONCAT("a = ",E7)</f>
        <v>a = 0</v>
      </c>
      <c r="G15" s="45"/>
      <c r="H15" s="11"/>
      <c r="I15" s="20"/>
      <c r="J15" s="17"/>
      <c r="K15" s="17"/>
      <c r="L15" s="17"/>
      <c r="M15" s="20"/>
      <c r="P15" s="7"/>
    </row>
    <row r="16" spans="1:18" ht="17.100000000000001" customHeight="1" x14ac:dyDescent="0.25">
      <c r="A16" s="7"/>
      <c r="P16" s="7"/>
    </row>
    <row r="17" spans="1:16" ht="17.100000000000001" customHeight="1" x14ac:dyDescent="0.25">
      <c r="A17" s="7"/>
      <c r="B17" s="43" t="str">
        <f>B14</f>
        <v>Cofactor of Matrix [A]</v>
      </c>
      <c r="C17" s="44" t="s">
        <v>1</v>
      </c>
      <c r="D17" s="45" t="s">
        <v>2</v>
      </c>
      <c r="E17" s="30">
        <f>F8</f>
        <v>0</v>
      </c>
      <c r="F17" s="30">
        <f>-E8</f>
        <v>0</v>
      </c>
      <c r="G17" s="45" t="s">
        <v>3</v>
      </c>
      <c r="H17" s="39"/>
      <c r="I17" s="39"/>
      <c r="P17" s="7"/>
    </row>
    <row r="18" spans="1:16" ht="17.100000000000001" customHeight="1" x14ac:dyDescent="0.25">
      <c r="A18" s="7"/>
      <c r="B18" s="43"/>
      <c r="C18" s="44"/>
      <c r="D18" s="45"/>
      <c r="E18" s="30">
        <f>-F7</f>
        <v>0</v>
      </c>
      <c r="F18" s="30">
        <f>E7</f>
        <v>0</v>
      </c>
      <c r="G18" s="45"/>
      <c r="H18" s="39"/>
      <c r="I18" s="39"/>
      <c r="P18" s="7"/>
    </row>
    <row r="19" spans="1:16" ht="17.100000000000001" customHeight="1" thickBot="1" x14ac:dyDescent="0.3">
      <c r="A19" s="7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0"/>
    </row>
    <row r="20" spans="1:16" ht="16.5" thickTop="1" x14ac:dyDescent="0.25"/>
  </sheetData>
  <sheetProtection algorithmName="SHA-512" hashValue="VoW2Hr3JC877qAtcrchELFj9eNCUWaiuEuWKQ6SavOvyhrgNvWXbbwpdMGoY9PefKp6dqA+m3IXu92Tno0Ealg==" saltValue="dHPkqQisFq3vDsZsrROTmA==" spinCount="100000" sheet="1" objects="1" scenarios="1"/>
  <mergeCells count="20">
    <mergeCell ref="B2:P2"/>
    <mergeCell ref="D4:P4"/>
    <mergeCell ref="B7:B8"/>
    <mergeCell ref="C7:C8"/>
    <mergeCell ref="D7:D8"/>
    <mergeCell ref="G7:G8"/>
    <mergeCell ref="H7:I8"/>
    <mergeCell ref="J7:O8"/>
    <mergeCell ref="B17:B18"/>
    <mergeCell ref="C17:C18"/>
    <mergeCell ref="D17:D18"/>
    <mergeCell ref="G17:G18"/>
    <mergeCell ref="B11:B12"/>
    <mergeCell ref="C11:C12"/>
    <mergeCell ref="D11:D12"/>
    <mergeCell ref="G11:G12"/>
    <mergeCell ref="B14:B15"/>
    <mergeCell ref="C14:C15"/>
    <mergeCell ref="D14:D15"/>
    <mergeCell ref="G14:G15"/>
  </mergeCells>
  <hyperlinks>
    <hyperlink ref="R2" location="'Main Page'!A1" display="Go to TOC Sheet" xr:uid="{54DA0F15-6FA7-4203-AF4B-92956DE246CF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B9D02-58EA-45B5-B154-206185152004}">
  <sheetPr codeName="Sheet26"/>
  <dimension ref="A1:S42"/>
  <sheetViews>
    <sheetView zoomScale="130" zoomScaleNormal="130" workbookViewId="0">
      <selection activeCell="E13" sqref="E13"/>
    </sheetView>
  </sheetViews>
  <sheetFormatPr defaultRowHeight="15.75" x14ac:dyDescent="0.25"/>
  <cols>
    <col min="1" max="1" width="3.42578125" style="38" customWidth="1"/>
    <col min="2" max="2" width="27.7109375" style="38" customWidth="1"/>
    <col min="3" max="3" width="17.7109375" style="38" customWidth="1"/>
    <col min="4" max="7" width="7.7109375" style="38" customWidth="1"/>
    <col min="8" max="8" width="5.140625" style="38" bestFit="1" customWidth="1"/>
    <col min="9" max="9" width="5.140625" style="38" customWidth="1"/>
    <col min="10" max="10" width="6.42578125" style="38" bestFit="1" customWidth="1"/>
    <col min="11" max="13" width="5.7109375" style="38" customWidth="1"/>
    <col min="14" max="14" width="5.140625" style="38" bestFit="1" customWidth="1"/>
    <col min="15" max="15" width="6.7109375" style="38" customWidth="1"/>
    <col min="16" max="16" width="5.140625" style="38" bestFit="1" customWidth="1"/>
    <col min="17" max="17" width="7.7109375" style="38" customWidth="1"/>
    <col min="18" max="18" width="9.140625" style="38"/>
    <col min="19" max="19" width="19" style="38" customWidth="1"/>
    <col min="20" max="16384" width="9.140625" style="38"/>
  </cols>
  <sheetData>
    <row r="1" spans="1:19" ht="16.5" thickBot="1" x14ac:dyDescent="0.3"/>
    <row r="2" spans="1:19" ht="17.25" thickTop="1" thickBot="1" x14ac:dyDescent="0.3">
      <c r="B2" s="47" t="s">
        <v>11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9"/>
      <c r="R2" s="4"/>
      <c r="S2" s="5" t="s">
        <v>4</v>
      </c>
    </row>
    <row r="3" spans="1:19" ht="17.25" thickTop="1" thickBot="1" x14ac:dyDescent="0.3">
      <c r="B3" s="6"/>
      <c r="C3" s="6"/>
    </row>
    <row r="4" spans="1:19" ht="141.75" customHeight="1" thickTop="1" thickBot="1" x14ac:dyDescent="0.3">
      <c r="A4" s="7"/>
      <c r="B4" s="16" t="s">
        <v>14</v>
      </c>
      <c r="C4" s="21" t="s">
        <v>0</v>
      </c>
      <c r="D4" s="50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2"/>
    </row>
    <row r="5" spans="1:19" ht="17.25" thickTop="1" thickBot="1" x14ac:dyDescent="0.3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1:19" ht="17.100000000000001" customHeight="1" thickTop="1" thickBot="1" x14ac:dyDescent="0.3">
      <c r="A6" s="7"/>
      <c r="Q6" s="9"/>
    </row>
    <row r="7" spans="1:19" ht="17.100000000000001" customHeight="1" x14ac:dyDescent="0.25">
      <c r="A7" s="7"/>
      <c r="B7" s="46" t="str">
        <f>_xlfn.CONCAT("Matrix ","[",C4,"]")</f>
        <v>Matrix [A]</v>
      </c>
      <c r="C7" s="44" t="s">
        <v>1</v>
      </c>
      <c r="D7" s="66" t="s">
        <v>2</v>
      </c>
      <c r="E7" s="29">
        <v>0</v>
      </c>
      <c r="F7" s="29">
        <v>0</v>
      </c>
      <c r="G7" s="29">
        <v>0</v>
      </c>
      <c r="H7" s="68" t="s">
        <v>3</v>
      </c>
      <c r="I7" s="70"/>
      <c r="J7" s="71"/>
      <c r="K7" s="55" t="str">
        <f>_xlfn.CONCAT("Enter values for Matrix [",C4,"] here")</f>
        <v>Enter values for Matrix [A] here</v>
      </c>
      <c r="L7" s="56"/>
      <c r="M7" s="56"/>
      <c r="N7" s="56"/>
      <c r="O7" s="56"/>
      <c r="P7" s="57"/>
      <c r="Q7" s="7"/>
    </row>
    <row r="8" spans="1:19" ht="17.100000000000001" customHeight="1" x14ac:dyDescent="0.25">
      <c r="A8" s="7"/>
      <c r="B8" s="46"/>
      <c r="C8" s="44"/>
      <c r="D8" s="66"/>
      <c r="E8" s="29">
        <v>0</v>
      </c>
      <c r="F8" s="29">
        <v>0</v>
      </c>
      <c r="G8" s="29">
        <v>0</v>
      </c>
      <c r="H8" s="68"/>
      <c r="I8" s="70"/>
      <c r="J8" s="71"/>
      <c r="K8" s="72"/>
      <c r="L8" s="73"/>
      <c r="M8" s="73"/>
      <c r="N8" s="73"/>
      <c r="O8" s="73"/>
      <c r="P8" s="74"/>
      <c r="Q8" s="7"/>
    </row>
    <row r="9" spans="1:19" ht="17.100000000000001" customHeight="1" thickBot="1" x14ac:dyDescent="0.3">
      <c r="A9" s="7"/>
      <c r="B9" s="46"/>
      <c r="C9" s="44"/>
      <c r="D9" s="67"/>
      <c r="E9" s="29">
        <v>0</v>
      </c>
      <c r="F9" s="29">
        <v>0</v>
      </c>
      <c r="G9" s="29">
        <v>0</v>
      </c>
      <c r="H9" s="69"/>
      <c r="I9" s="70"/>
      <c r="J9" s="71"/>
      <c r="K9" s="58"/>
      <c r="L9" s="59"/>
      <c r="M9" s="59"/>
      <c r="N9" s="59"/>
      <c r="O9" s="59"/>
      <c r="P9" s="60"/>
      <c r="Q9" s="7"/>
    </row>
    <row r="10" spans="1:19" ht="17.100000000000001" customHeight="1" x14ac:dyDescent="0.25">
      <c r="A10" s="7"/>
      <c r="E10" s="15"/>
      <c r="Q10" s="7"/>
    </row>
    <row r="11" spans="1:19" ht="17.100000000000001" customHeight="1" x14ac:dyDescent="0.25">
      <c r="A11" s="7"/>
      <c r="B11" s="46" t="s">
        <v>15</v>
      </c>
      <c r="C11" s="44" t="s">
        <v>1</v>
      </c>
      <c r="D11" s="62" t="s">
        <v>16</v>
      </c>
      <c r="E11" s="45" t="s">
        <v>2</v>
      </c>
      <c r="F11" s="30">
        <f>F8</f>
        <v>0</v>
      </c>
      <c r="G11" s="30">
        <f>G8</f>
        <v>0</v>
      </c>
      <c r="H11" s="45" t="s">
        <v>3</v>
      </c>
      <c r="I11" s="61" t="s">
        <v>1</v>
      </c>
      <c r="J11" s="44" t="str">
        <f>_xlfn.CONCAT("(+1) ",_xlfn.UNICHAR(215)," ",((F11*G12)-(G11*F12)))</f>
        <v>(+1) × 0</v>
      </c>
      <c r="K11" s="44"/>
      <c r="L11" s="61" t="s">
        <v>1</v>
      </c>
      <c r="M11" s="44">
        <f>((F11*G12)-(G11*F12))</f>
        <v>0</v>
      </c>
      <c r="N11" s="20"/>
      <c r="Q11" s="7"/>
    </row>
    <row r="12" spans="1:19" ht="17.100000000000001" customHeight="1" x14ac:dyDescent="0.25">
      <c r="A12" s="7"/>
      <c r="B12" s="46"/>
      <c r="C12" s="44"/>
      <c r="D12" s="62"/>
      <c r="E12" s="45"/>
      <c r="F12" s="30">
        <f>F9</f>
        <v>0</v>
      </c>
      <c r="G12" s="30">
        <f>G9</f>
        <v>0</v>
      </c>
      <c r="H12" s="45"/>
      <c r="I12" s="61"/>
      <c r="J12" s="44"/>
      <c r="K12" s="44"/>
      <c r="L12" s="61"/>
      <c r="M12" s="44"/>
      <c r="N12" s="20"/>
      <c r="Q12" s="7"/>
    </row>
    <row r="13" spans="1:19" ht="17.100000000000001" customHeight="1" x14ac:dyDescent="0.25">
      <c r="A13" s="7"/>
      <c r="Q13" s="7"/>
    </row>
    <row r="14" spans="1:19" ht="17.100000000000001" customHeight="1" x14ac:dyDescent="0.25">
      <c r="A14" s="7"/>
      <c r="B14" s="46" t="s">
        <v>17</v>
      </c>
      <c r="C14" s="44" t="s">
        <v>1</v>
      </c>
      <c r="D14" s="62" t="s">
        <v>25</v>
      </c>
      <c r="E14" s="45" t="s">
        <v>2</v>
      </c>
      <c r="F14" s="30">
        <f>E8</f>
        <v>0</v>
      </c>
      <c r="G14" s="30">
        <f>G8</f>
        <v>0</v>
      </c>
      <c r="H14" s="45" t="s">
        <v>3</v>
      </c>
      <c r="I14" s="61" t="s">
        <v>1</v>
      </c>
      <c r="J14" s="44" t="str">
        <f>_xlfn.CONCAT("(−1) ",_xlfn.UNICHAR(215)," ",((F14*G15)-(G14*F15)))</f>
        <v>(−1) × 0</v>
      </c>
      <c r="K14" s="44"/>
      <c r="L14" s="61" t="s">
        <v>1</v>
      </c>
      <c r="M14" s="44">
        <f>-((F14*G15)-(G14*F15))</f>
        <v>0</v>
      </c>
      <c r="N14" s="20"/>
      <c r="Q14" s="7"/>
    </row>
    <row r="15" spans="1:19" ht="17.100000000000001" customHeight="1" x14ac:dyDescent="0.25">
      <c r="A15" s="7"/>
      <c r="B15" s="46"/>
      <c r="C15" s="44"/>
      <c r="D15" s="62"/>
      <c r="E15" s="45"/>
      <c r="F15" s="30">
        <f>E9</f>
        <v>0</v>
      </c>
      <c r="G15" s="30">
        <f>G9</f>
        <v>0</v>
      </c>
      <c r="H15" s="45"/>
      <c r="I15" s="61"/>
      <c r="J15" s="44"/>
      <c r="K15" s="44"/>
      <c r="L15" s="61"/>
      <c r="M15" s="44"/>
      <c r="N15" s="20"/>
      <c r="Q15" s="7"/>
    </row>
    <row r="16" spans="1:19" ht="17.100000000000001" customHeight="1" x14ac:dyDescent="0.25">
      <c r="A16" s="7"/>
      <c r="B16" s="37"/>
      <c r="D16" s="39"/>
      <c r="E16" s="18"/>
      <c r="F16" s="41"/>
      <c r="G16" s="13"/>
      <c r="H16" s="39"/>
      <c r="I16" s="11"/>
      <c r="J16" s="20"/>
      <c r="K16" s="17"/>
      <c r="L16" s="17"/>
      <c r="M16" s="17"/>
      <c r="N16" s="20"/>
      <c r="Q16" s="7"/>
    </row>
    <row r="17" spans="1:17" ht="17.100000000000001" customHeight="1" x14ac:dyDescent="0.25">
      <c r="A17" s="7"/>
      <c r="B17" s="46" t="s">
        <v>18</v>
      </c>
      <c r="C17" s="44" t="s">
        <v>1</v>
      </c>
      <c r="D17" s="62" t="s">
        <v>26</v>
      </c>
      <c r="E17" s="45" t="s">
        <v>2</v>
      </c>
      <c r="F17" s="30">
        <f>E8</f>
        <v>0</v>
      </c>
      <c r="G17" s="30">
        <f>F8</f>
        <v>0</v>
      </c>
      <c r="H17" s="45" t="s">
        <v>3</v>
      </c>
      <c r="I17" s="61" t="s">
        <v>1</v>
      </c>
      <c r="J17" s="44" t="str">
        <f>_xlfn.CONCAT("(+1) ",_xlfn.UNICHAR(215)," ",((F17*G18)-(G17*F18)))</f>
        <v>(+1) × 0</v>
      </c>
      <c r="K17" s="44"/>
      <c r="L17" s="61" t="s">
        <v>1</v>
      </c>
      <c r="M17" s="44">
        <f>((F17*G18)-(G17*F18))</f>
        <v>0</v>
      </c>
      <c r="N17" s="20"/>
      <c r="Q17" s="7"/>
    </row>
    <row r="18" spans="1:17" ht="17.100000000000001" customHeight="1" x14ac:dyDescent="0.25">
      <c r="A18" s="7"/>
      <c r="B18" s="46"/>
      <c r="C18" s="44"/>
      <c r="D18" s="62"/>
      <c r="E18" s="45"/>
      <c r="F18" s="30">
        <f>E9</f>
        <v>0</v>
      </c>
      <c r="G18" s="30">
        <f>F9</f>
        <v>0</v>
      </c>
      <c r="H18" s="45"/>
      <c r="I18" s="61"/>
      <c r="J18" s="44"/>
      <c r="K18" s="44"/>
      <c r="L18" s="61"/>
      <c r="M18" s="44"/>
      <c r="N18" s="20"/>
      <c r="Q18" s="7"/>
    </row>
    <row r="19" spans="1:17" ht="17.100000000000001" customHeight="1" x14ac:dyDescent="0.25">
      <c r="A19" s="7"/>
      <c r="B19" s="37"/>
      <c r="D19" s="39"/>
      <c r="E19" s="18"/>
      <c r="F19" s="41"/>
      <c r="G19" s="13"/>
      <c r="H19" s="39"/>
      <c r="I19" s="11"/>
      <c r="J19" s="20"/>
      <c r="K19" s="17"/>
      <c r="L19" s="17"/>
      <c r="M19" s="17"/>
      <c r="N19" s="20"/>
      <c r="Q19" s="7"/>
    </row>
    <row r="20" spans="1:17" ht="17.100000000000001" customHeight="1" x14ac:dyDescent="0.25">
      <c r="A20" s="7"/>
      <c r="B20" s="46" t="s">
        <v>19</v>
      </c>
      <c r="C20" s="44" t="s">
        <v>1</v>
      </c>
      <c r="D20" s="62" t="s">
        <v>27</v>
      </c>
      <c r="E20" s="45" t="s">
        <v>2</v>
      </c>
      <c r="F20" s="30">
        <f>F7</f>
        <v>0</v>
      </c>
      <c r="G20" s="30">
        <f>G7</f>
        <v>0</v>
      </c>
      <c r="H20" s="45" t="s">
        <v>3</v>
      </c>
      <c r="I20" s="61" t="s">
        <v>1</v>
      </c>
      <c r="J20" s="44" t="str">
        <f>_xlfn.CONCAT("(−1) ",_xlfn.UNICHAR(215)," ",((F20*G21)-(G20*F21)))</f>
        <v>(−1) × 0</v>
      </c>
      <c r="K20" s="44"/>
      <c r="L20" s="61" t="s">
        <v>1</v>
      </c>
      <c r="M20" s="44">
        <f>-((F20*G21)-(G20*F21))</f>
        <v>0</v>
      </c>
      <c r="N20" s="20"/>
      <c r="Q20" s="7"/>
    </row>
    <row r="21" spans="1:17" ht="17.100000000000001" customHeight="1" x14ac:dyDescent="0.25">
      <c r="A21" s="7"/>
      <c r="B21" s="46"/>
      <c r="C21" s="44"/>
      <c r="D21" s="62"/>
      <c r="E21" s="45"/>
      <c r="F21" s="30">
        <f>F9</f>
        <v>0</v>
      </c>
      <c r="G21" s="30">
        <f>G9</f>
        <v>0</v>
      </c>
      <c r="H21" s="45"/>
      <c r="I21" s="61"/>
      <c r="J21" s="44"/>
      <c r="K21" s="44"/>
      <c r="L21" s="61"/>
      <c r="M21" s="44"/>
      <c r="N21" s="20"/>
      <c r="Q21" s="7"/>
    </row>
    <row r="22" spans="1:17" ht="17.100000000000001" customHeight="1" x14ac:dyDescent="0.25">
      <c r="A22" s="7"/>
      <c r="B22" s="37"/>
      <c r="D22" s="39"/>
      <c r="E22" s="18"/>
      <c r="F22" s="41"/>
      <c r="G22" s="13"/>
      <c r="H22" s="39"/>
      <c r="I22" s="11"/>
      <c r="J22" s="20"/>
      <c r="K22" s="17"/>
      <c r="L22" s="17"/>
      <c r="M22" s="17"/>
      <c r="N22" s="20"/>
      <c r="Q22" s="7"/>
    </row>
    <row r="23" spans="1:17" ht="17.100000000000001" customHeight="1" x14ac:dyDescent="0.25">
      <c r="A23" s="7"/>
      <c r="B23" s="46" t="s">
        <v>20</v>
      </c>
      <c r="C23" s="44" t="s">
        <v>1</v>
      </c>
      <c r="D23" s="62" t="s">
        <v>28</v>
      </c>
      <c r="E23" s="45" t="s">
        <v>2</v>
      </c>
      <c r="F23" s="30">
        <f>E7</f>
        <v>0</v>
      </c>
      <c r="G23" s="30">
        <f>G7</f>
        <v>0</v>
      </c>
      <c r="H23" s="45" t="s">
        <v>3</v>
      </c>
      <c r="I23" s="61" t="s">
        <v>1</v>
      </c>
      <c r="J23" s="44" t="str">
        <f>_xlfn.CONCAT("(+1) ",_xlfn.UNICHAR(215)," ",((F23*G24)-(G23*F24)))</f>
        <v>(+1) × 0</v>
      </c>
      <c r="K23" s="44"/>
      <c r="L23" s="61" t="s">
        <v>1</v>
      </c>
      <c r="M23" s="44">
        <f>((F23*G24)-(G23*F24))</f>
        <v>0</v>
      </c>
      <c r="N23" s="20"/>
      <c r="Q23" s="7"/>
    </row>
    <row r="24" spans="1:17" ht="17.100000000000001" customHeight="1" x14ac:dyDescent="0.25">
      <c r="A24" s="7"/>
      <c r="B24" s="46"/>
      <c r="C24" s="44"/>
      <c r="D24" s="62"/>
      <c r="E24" s="45"/>
      <c r="F24" s="30">
        <f>E9</f>
        <v>0</v>
      </c>
      <c r="G24" s="30">
        <f>G9</f>
        <v>0</v>
      </c>
      <c r="H24" s="45"/>
      <c r="I24" s="61"/>
      <c r="J24" s="44"/>
      <c r="K24" s="44"/>
      <c r="L24" s="61"/>
      <c r="M24" s="44"/>
      <c r="N24" s="20"/>
      <c r="Q24" s="7"/>
    </row>
    <row r="25" spans="1:17" ht="17.100000000000001" customHeight="1" x14ac:dyDescent="0.25">
      <c r="A25" s="7"/>
      <c r="B25" s="37"/>
      <c r="D25" s="39"/>
      <c r="E25" s="18"/>
      <c r="F25" s="41"/>
      <c r="G25" s="13"/>
      <c r="H25" s="39"/>
      <c r="I25" s="11"/>
      <c r="J25" s="20"/>
      <c r="K25" s="17"/>
      <c r="L25" s="17"/>
      <c r="M25" s="17"/>
      <c r="N25" s="20"/>
      <c r="Q25" s="7"/>
    </row>
    <row r="26" spans="1:17" ht="17.100000000000001" customHeight="1" x14ac:dyDescent="0.25">
      <c r="A26" s="7"/>
      <c r="B26" s="46" t="s">
        <v>21</v>
      </c>
      <c r="C26" s="44" t="s">
        <v>1</v>
      </c>
      <c r="D26" s="62" t="s">
        <v>29</v>
      </c>
      <c r="E26" s="45" t="s">
        <v>2</v>
      </c>
      <c r="F26" s="30">
        <f>E7</f>
        <v>0</v>
      </c>
      <c r="G26" s="30">
        <f>F7</f>
        <v>0</v>
      </c>
      <c r="H26" s="45" t="s">
        <v>3</v>
      </c>
      <c r="I26" s="61" t="s">
        <v>1</v>
      </c>
      <c r="J26" s="44" t="str">
        <f>_xlfn.CONCAT("(−1) ",_xlfn.UNICHAR(215)," ",((F26*G27)-(G26*F27)))</f>
        <v>(−1) × 0</v>
      </c>
      <c r="K26" s="44"/>
      <c r="L26" s="61" t="s">
        <v>1</v>
      </c>
      <c r="M26" s="44">
        <f>-((F26*G27)-(G26*F27))</f>
        <v>0</v>
      </c>
      <c r="N26" s="20"/>
      <c r="Q26" s="7"/>
    </row>
    <row r="27" spans="1:17" ht="17.100000000000001" customHeight="1" x14ac:dyDescent="0.25">
      <c r="A27" s="7"/>
      <c r="B27" s="46"/>
      <c r="C27" s="44"/>
      <c r="D27" s="62"/>
      <c r="E27" s="45"/>
      <c r="F27" s="30">
        <f>E9</f>
        <v>0</v>
      </c>
      <c r="G27" s="30">
        <f>F9</f>
        <v>0</v>
      </c>
      <c r="H27" s="45"/>
      <c r="I27" s="61"/>
      <c r="J27" s="44"/>
      <c r="K27" s="44"/>
      <c r="L27" s="61"/>
      <c r="M27" s="44"/>
      <c r="N27" s="20"/>
      <c r="Q27" s="7"/>
    </row>
    <row r="28" spans="1:17" ht="17.100000000000001" customHeight="1" x14ac:dyDescent="0.25">
      <c r="A28" s="7"/>
      <c r="B28" s="37"/>
      <c r="D28" s="39"/>
      <c r="E28" s="18"/>
      <c r="F28" s="41"/>
      <c r="G28" s="13"/>
      <c r="H28" s="39"/>
      <c r="I28" s="11"/>
      <c r="J28" s="20"/>
      <c r="K28" s="17"/>
      <c r="L28" s="17"/>
      <c r="M28" s="17"/>
      <c r="N28" s="20"/>
      <c r="Q28" s="7"/>
    </row>
    <row r="29" spans="1:17" ht="17.100000000000001" customHeight="1" x14ac:dyDescent="0.25">
      <c r="A29" s="7"/>
      <c r="B29" s="46" t="s">
        <v>22</v>
      </c>
      <c r="C29" s="44" t="s">
        <v>1</v>
      </c>
      <c r="D29" s="62" t="s">
        <v>30</v>
      </c>
      <c r="E29" s="45" t="s">
        <v>2</v>
      </c>
      <c r="F29" s="30">
        <f>F7</f>
        <v>0</v>
      </c>
      <c r="G29" s="30">
        <f>G7</f>
        <v>0</v>
      </c>
      <c r="H29" s="45" t="s">
        <v>3</v>
      </c>
      <c r="I29" s="61" t="s">
        <v>1</v>
      </c>
      <c r="J29" s="44" t="str">
        <f>_xlfn.CONCAT("(+1) ",_xlfn.UNICHAR(215)," ",((F29*G30)-(G29*F30)))</f>
        <v>(+1) × 0</v>
      </c>
      <c r="K29" s="44"/>
      <c r="L29" s="61" t="s">
        <v>1</v>
      </c>
      <c r="M29" s="44">
        <f>((F29*G30)-(G29*F30))</f>
        <v>0</v>
      </c>
      <c r="N29" s="20"/>
      <c r="Q29" s="7"/>
    </row>
    <row r="30" spans="1:17" ht="17.100000000000001" customHeight="1" x14ac:dyDescent="0.25">
      <c r="A30" s="7"/>
      <c r="B30" s="46"/>
      <c r="C30" s="44"/>
      <c r="D30" s="62"/>
      <c r="E30" s="45"/>
      <c r="F30" s="30">
        <f>F8</f>
        <v>0</v>
      </c>
      <c r="G30" s="30">
        <f>G8</f>
        <v>0</v>
      </c>
      <c r="H30" s="45"/>
      <c r="I30" s="61"/>
      <c r="J30" s="44"/>
      <c r="K30" s="44"/>
      <c r="L30" s="61"/>
      <c r="M30" s="44"/>
      <c r="N30" s="20"/>
      <c r="Q30" s="7"/>
    </row>
    <row r="31" spans="1:17" ht="17.100000000000001" customHeight="1" x14ac:dyDescent="0.25">
      <c r="A31" s="7"/>
      <c r="B31" s="37"/>
      <c r="D31" s="39"/>
      <c r="E31" s="18"/>
      <c r="F31" s="41"/>
      <c r="G31" s="13"/>
      <c r="H31" s="39"/>
      <c r="I31" s="11"/>
      <c r="J31" s="20"/>
      <c r="K31" s="17"/>
      <c r="L31" s="17"/>
      <c r="M31" s="17"/>
      <c r="N31" s="20"/>
      <c r="Q31" s="7"/>
    </row>
    <row r="32" spans="1:17" ht="17.100000000000001" customHeight="1" x14ac:dyDescent="0.25">
      <c r="A32" s="7"/>
      <c r="B32" s="46" t="s">
        <v>23</v>
      </c>
      <c r="C32" s="44" t="s">
        <v>1</v>
      </c>
      <c r="D32" s="62" t="s">
        <v>31</v>
      </c>
      <c r="E32" s="45" t="s">
        <v>2</v>
      </c>
      <c r="F32" s="30">
        <f>E7</f>
        <v>0</v>
      </c>
      <c r="G32" s="30">
        <f>G7</f>
        <v>0</v>
      </c>
      <c r="H32" s="45" t="s">
        <v>3</v>
      </c>
      <c r="I32" s="61" t="s">
        <v>1</v>
      </c>
      <c r="J32" s="44" t="str">
        <f>_xlfn.CONCAT("(−1) ",_xlfn.UNICHAR(215)," ",((F32*G33)-(G32*F33)))</f>
        <v>(−1) × 0</v>
      </c>
      <c r="K32" s="44"/>
      <c r="L32" s="61" t="s">
        <v>1</v>
      </c>
      <c r="M32" s="44">
        <f>-((F32*G33)-(G32*F33))</f>
        <v>0</v>
      </c>
      <c r="N32" s="20"/>
      <c r="Q32" s="7"/>
    </row>
    <row r="33" spans="1:17" ht="17.100000000000001" customHeight="1" x14ac:dyDescent="0.25">
      <c r="A33" s="7"/>
      <c r="B33" s="46"/>
      <c r="C33" s="44"/>
      <c r="D33" s="62"/>
      <c r="E33" s="45"/>
      <c r="F33" s="30">
        <f>E8</f>
        <v>0</v>
      </c>
      <c r="G33" s="30">
        <f>G8</f>
        <v>0</v>
      </c>
      <c r="H33" s="45"/>
      <c r="I33" s="61"/>
      <c r="J33" s="44"/>
      <c r="K33" s="44"/>
      <c r="L33" s="61"/>
      <c r="M33" s="44"/>
      <c r="N33" s="20"/>
      <c r="Q33" s="7"/>
    </row>
    <row r="34" spans="1:17" ht="17.100000000000001" customHeight="1" x14ac:dyDescent="0.25">
      <c r="A34" s="7"/>
      <c r="B34" s="37"/>
      <c r="D34" s="39"/>
      <c r="E34" s="18"/>
      <c r="F34" s="41"/>
      <c r="G34" s="13"/>
      <c r="H34" s="39"/>
      <c r="I34" s="11"/>
      <c r="J34" s="20"/>
      <c r="K34" s="17"/>
      <c r="L34" s="17"/>
      <c r="M34" s="17"/>
      <c r="N34" s="20"/>
      <c r="Q34" s="7"/>
    </row>
    <row r="35" spans="1:17" ht="17.100000000000001" customHeight="1" x14ac:dyDescent="0.25">
      <c r="A35" s="7"/>
      <c r="B35" s="46" t="s">
        <v>24</v>
      </c>
      <c r="C35" s="44" t="s">
        <v>1</v>
      </c>
      <c r="D35" s="62" t="s">
        <v>32</v>
      </c>
      <c r="E35" s="45" t="s">
        <v>2</v>
      </c>
      <c r="F35" s="30">
        <f>E7</f>
        <v>0</v>
      </c>
      <c r="G35" s="30">
        <f>F7</f>
        <v>0</v>
      </c>
      <c r="H35" s="45" t="s">
        <v>3</v>
      </c>
      <c r="I35" s="61" t="s">
        <v>1</v>
      </c>
      <c r="J35" s="44" t="str">
        <f>_xlfn.CONCAT("(+1) ",_xlfn.UNICHAR(215)," ",((F35*G36)-(G35*F36)))</f>
        <v>(+1) × 0</v>
      </c>
      <c r="K35" s="44"/>
      <c r="L35" s="61" t="s">
        <v>1</v>
      </c>
      <c r="M35" s="44">
        <f>((F35*G36)-(G35*F36))</f>
        <v>0</v>
      </c>
      <c r="N35" s="20"/>
      <c r="Q35" s="7"/>
    </row>
    <row r="36" spans="1:17" ht="17.100000000000001" customHeight="1" x14ac:dyDescent="0.25">
      <c r="A36" s="7"/>
      <c r="B36" s="46"/>
      <c r="C36" s="44"/>
      <c r="D36" s="62"/>
      <c r="E36" s="45"/>
      <c r="F36" s="30">
        <f>E8</f>
        <v>0</v>
      </c>
      <c r="G36" s="30">
        <f>F8</f>
        <v>0</v>
      </c>
      <c r="H36" s="45"/>
      <c r="I36" s="61"/>
      <c r="J36" s="44"/>
      <c r="K36" s="44"/>
      <c r="L36" s="61"/>
      <c r="M36" s="44"/>
      <c r="N36" s="20"/>
      <c r="Q36" s="7"/>
    </row>
    <row r="37" spans="1:17" ht="17.100000000000001" customHeight="1" x14ac:dyDescent="0.25">
      <c r="A37" s="7"/>
      <c r="Q37" s="7"/>
    </row>
    <row r="38" spans="1:17" ht="17.100000000000001" customHeight="1" x14ac:dyDescent="0.25">
      <c r="A38" s="7"/>
      <c r="B38" s="43" t="str">
        <f>_xlfn.CONCAT("Cofactor of Matrix ","[",C4,"]")</f>
        <v>Cofactor of Matrix [A]</v>
      </c>
      <c r="C38" s="63" t="s">
        <v>1</v>
      </c>
      <c r="D38" s="64" t="s">
        <v>2</v>
      </c>
      <c r="E38" s="41">
        <f>M11</f>
        <v>0</v>
      </c>
      <c r="F38" s="41">
        <f>M14</f>
        <v>0</v>
      </c>
      <c r="G38" s="41">
        <f>M17</f>
        <v>0</v>
      </c>
      <c r="H38" s="64" t="s">
        <v>3</v>
      </c>
      <c r="I38" s="39"/>
      <c r="J38" s="39"/>
      <c r="Q38" s="7"/>
    </row>
    <row r="39" spans="1:17" ht="17.100000000000001" customHeight="1" x14ac:dyDescent="0.25">
      <c r="A39" s="7"/>
      <c r="B39" s="43"/>
      <c r="C39" s="63"/>
      <c r="D39" s="64"/>
      <c r="E39" s="41">
        <f>M20</f>
        <v>0</v>
      </c>
      <c r="F39" s="41">
        <f>M23</f>
        <v>0</v>
      </c>
      <c r="G39" s="41">
        <f>M26</f>
        <v>0</v>
      </c>
      <c r="H39" s="64"/>
      <c r="I39" s="39"/>
      <c r="J39" s="39"/>
      <c r="Q39" s="7"/>
    </row>
    <row r="40" spans="1:17" ht="17.100000000000001" customHeight="1" x14ac:dyDescent="0.25">
      <c r="A40" s="7"/>
      <c r="B40" s="43"/>
      <c r="C40" s="63"/>
      <c r="D40" s="65"/>
      <c r="E40" s="41">
        <f>M29</f>
        <v>0</v>
      </c>
      <c r="F40" s="41">
        <f>M32</f>
        <v>0</v>
      </c>
      <c r="G40" s="41">
        <f>M35</f>
        <v>0</v>
      </c>
      <c r="H40" s="65"/>
      <c r="I40" s="40"/>
      <c r="J40" s="40"/>
      <c r="Q40" s="7"/>
    </row>
    <row r="41" spans="1:17" ht="17.100000000000001" customHeight="1" thickBot="1" x14ac:dyDescent="0.3">
      <c r="A41" s="7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10"/>
    </row>
    <row r="42" spans="1:17" ht="16.5" thickTop="1" x14ac:dyDescent="0.25"/>
  </sheetData>
  <sheetProtection algorithmName="SHA-512" hashValue="UpMXqqmLdNCb5jN0OFQMoZXM8t51F2/O81fKV6XAbNlcREG5S/VtPVllGt1G/nPI0cX4Ab0a5LvQnw5SMsAP7g==" saltValue="bttAUsEHZZ65GZXmpdXtIg==" spinCount="100000" sheet="1" objects="1" scenarios="1"/>
  <mergeCells count="93">
    <mergeCell ref="L35:L36"/>
    <mergeCell ref="J20:K21"/>
    <mergeCell ref="L23:L24"/>
    <mergeCell ref="L26:L27"/>
    <mergeCell ref="L29:L30"/>
    <mergeCell ref="L32:L33"/>
    <mergeCell ref="I32:I33"/>
    <mergeCell ref="M32:M33"/>
    <mergeCell ref="B35:B36"/>
    <mergeCell ref="C35:C36"/>
    <mergeCell ref="D35:D36"/>
    <mergeCell ref="E35:E36"/>
    <mergeCell ref="H35:H36"/>
    <mergeCell ref="I35:I36"/>
    <mergeCell ref="M35:M36"/>
    <mergeCell ref="J32:K33"/>
    <mergeCell ref="J35:K36"/>
    <mergeCell ref="B32:B33"/>
    <mergeCell ref="C32:C33"/>
    <mergeCell ref="D32:D33"/>
    <mergeCell ref="E32:E33"/>
    <mergeCell ref="H32:H33"/>
    <mergeCell ref="I26:I27"/>
    <mergeCell ref="M26:M27"/>
    <mergeCell ref="B29:B30"/>
    <mergeCell ref="C29:C30"/>
    <mergeCell ref="D29:D30"/>
    <mergeCell ref="E29:E30"/>
    <mergeCell ref="H29:H30"/>
    <mergeCell ref="I29:I30"/>
    <mergeCell ref="M29:M30"/>
    <mergeCell ref="J26:K27"/>
    <mergeCell ref="J29:K30"/>
    <mergeCell ref="B26:B27"/>
    <mergeCell ref="C26:C27"/>
    <mergeCell ref="D26:D27"/>
    <mergeCell ref="E26:E27"/>
    <mergeCell ref="H26:H27"/>
    <mergeCell ref="I20:I21"/>
    <mergeCell ref="M20:M21"/>
    <mergeCell ref="B23:B24"/>
    <mergeCell ref="C23:C24"/>
    <mergeCell ref="D23:D24"/>
    <mergeCell ref="E23:E24"/>
    <mergeCell ref="H23:H24"/>
    <mergeCell ref="I23:I24"/>
    <mergeCell ref="M23:M24"/>
    <mergeCell ref="J23:K24"/>
    <mergeCell ref="B20:B21"/>
    <mergeCell ref="C20:C21"/>
    <mergeCell ref="D20:D21"/>
    <mergeCell ref="E20:E21"/>
    <mergeCell ref="H20:H21"/>
    <mergeCell ref="L20:L21"/>
    <mergeCell ref="B2:Q2"/>
    <mergeCell ref="D4:Q4"/>
    <mergeCell ref="B7:B9"/>
    <mergeCell ref="C7:C9"/>
    <mergeCell ref="D7:D9"/>
    <mergeCell ref="H7:H9"/>
    <mergeCell ref="I7:J9"/>
    <mergeCell ref="K7:P9"/>
    <mergeCell ref="B38:B40"/>
    <mergeCell ref="C38:C40"/>
    <mergeCell ref="D38:D40"/>
    <mergeCell ref="H38:H40"/>
    <mergeCell ref="B11:B12"/>
    <mergeCell ref="C11:C12"/>
    <mergeCell ref="D11:D12"/>
    <mergeCell ref="E11:E12"/>
    <mergeCell ref="E14:E15"/>
    <mergeCell ref="B17:B18"/>
    <mergeCell ref="C17:C18"/>
    <mergeCell ref="D17:D18"/>
    <mergeCell ref="E17:E18"/>
    <mergeCell ref="B14:B15"/>
    <mergeCell ref="C14:C15"/>
    <mergeCell ref="H17:H18"/>
    <mergeCell ref="I11:I12"/>
    <mergeCell ref="M11:M12"/>
    <mergeCell ref="I14:I15"/>
    <mergeCell ref="M14:M15"/>
    <mergeCell ref="H11:H12"/>
    <mergeCell ref="J11:K12"/>
    <mergeCell ref="L11:L12"/>
    <mergeCell ref="L14:L15"/>
    <mergeCell ref="J14:K15"/>
    <mergeCell ref="I17:I18"/>
    <mergeCell ref="M17:M18"/>
    <mergeCell ref="D14:D15"/>
    <mergeCell ref="H14:H15"/>
    <mergeCell ref="L17:L18"/>
    <mergeCell ref="J17:K18"/>
  </mergeCells>
  <hyperlinks>
    <hyperlink ref="S2" location="'Main Page'!A1" display="Go to TOC Sheet" xr:uid="{96110216-C233-48EE-A20C-8435C49E4370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FCA21-DAE7-404A-855C-C53F070C3E5F}">
  <sheetPr codeName="Sheet28"/>
  <dimension ref="A1:R17"/>
  <sheetViews>
    <sheetView zoomScale="160" zoomScaleNormal="160" workbookViewId="0">
      <selection activeCell="E14" sqref="E14"/>
    </sheetView>
  </sheetViews>
  <sheetFormatPr defaultRowHeight="15.75" x14ac:dyDescent="0.25"/>
  <cols>
    <col min="1" max="1" width="3.42578125" style="38" customWidth="1"/>
    <col min="2" max="2" width="27.7109375" style="38" customWidth="1"/>
    <col min="3" max="3" width="17.7109375" style="38" customWidth="1"/>
    <col min="4" max="4" width="5.140625" style="38" bestFit="1" customWidth="1"/>
    <col min="5" max="6" width="10.7109375" style="38" customWidth="1"/>
    <col min="7" max="7" width="5.140625" style="38" bestFit="1" customWidth="1"/>
    <col min="8" max="14" width="5.140625" style="38" customWidth="1"/>
    <col min="15" max="16" width="7.7109375" style="38" customWidth="1"/>
    <col min="17" max="17" width="9.140625" style="38"/>
    <col min="18" max="18" width="19" style="38" customWidth="1"/>
    <col min="19" max="16384" width="9.140625" style="38"/>
  </cols>
  <sheetData>
    <row r="1" spans="1:18" ht="16.5" thickBot="1" x14ac:dyDescent="0.3"/>
    <row r="2" spans="1:18" ht="17.25" thickTop="1" thickBot="1" x14ac:dyDescent="0.3">
      <c r="B2" s="47" t="s">
        <v>12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9"/>
      <c r="Q2" s="4"/>
      <c r="R2" s="5" t="s">
        <v>4</v>
      </c>
    </row>
    <row r="3" spans="1:18" ht="17.25" thickTop="1" thickBot="1" x14ac:dyDescent="0.3">
      <c r="B3" s="6"/>
      <c r="C3" s="6"/>
    </row>
    <row r="4" spans="1:18" ht="75" customHeight="1" thickTop="1" thickBot="1" x14ac:dyDescent="0.3">
      <c r="A4" s="7"/>
      <c r="B4" s="16" t="s">
        <v>14</v>
      </c>
      <c r="C4" s="21" t="s">
        <v>0</v>
      </c>
      <c r="D4" s="50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2"/>
    </row>
    <row r="5" spans="1:18" ht="17.25" thickTop="1" thickBot="1" x14ac:dyDescent="0.3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8" ht="17.100000000000001" customHeight="1" thickTop="1" thickBot="1" x14ac:dyDescent="0.3">
      <c r="A6" s="7"/>
      <c r="P6" s="9"/>
    </row>
    <row r="7" spans="1:18" ht="17.100000000000001" customHeight="1" x14ac:dyDescent="0.25">
      <c r="A7" s="7"/>
      <c r="B7" s="46" t="str">
        <f>_xlfn.CONCAT("Matrix ","[",C4,"]")</f>
        <v>Matrix [A]</v>
      </c>
      <c r="C7" s="44" t="s">
        <v>1</v>
      </c>
      <c r="D7" s="75" t="s">
        <v>2</v>
      </c>
      <c r="E7" s="29">
        <v>0</v>
      </c>
      <c r="F7" s="29">
        <v>0</v>
      </c>
      <c r="G7" s="75" t="s">
        <v>3</v>
      </c>
      <c r="H7" s="76"/>
      <c r="I7" s="77"/>
      <c r="J7" s="55" t="str">
        <f>_xlfn.CONCAT("Enter values for Matrix [",C4,"] here")</f>
        <v>Enter values for Matrix [A] here</v>
      </c>
      <c r="K7" s="56"/>
      <c r="L7" s="56"/>
      <c r="M7" s="56"/>
      <c r="N7" s="56"/>
      <c r="O7" s="57"/>
      <c r="P7" s="7"/>
    </row>
    <row r="8" spans="1:18" ht="17.100000000000001" customHeight="1" thickBot="1" x14ac:dyDescent="0.3">
      <c r="A8" s="7"/>
      <c r="B8" s="46"/>
      <c r="C8" s="44"/>
      <c r="D8" s="75"/>
      <c r="E8" s="29">
        <v>0</v>
      </c>
      <c r="F8" s="29">
        <v>0</v>
      </c>
      <c r="G8" s="75"/>
      <c r="H8" s="76"/>
      <c r="I8" s="77"/>
      <c r="J8" s="58"/>
      <c r="K8" s="59"/>
      <c r="L8" s="59"/>
      <c r="M8" s="59"/>
      <c r="N8" s="59"/>
      <c r="O8" s="60"/>
      <c r="P8" s="7"/>
    </row>
    <row r="9" spans="1:18" ht="17.100000000000001" customHeight="1" x14ac:dyDescent="0.25">
      <c r="A9" s="7"/>
      <c r="E9" s="15"/>
      <c r="P9" s="7"/>
    </row>
    <row r="10" spans="1:18" ht="17.100000000000001" customHeight="1" x14ac:dyDescent="0.25">
      <c r="A10" s="7"/>
      <c r="E10" s="15"/>
      <c r="F10" s="19"/>
      <c r="P10" s="7"/>
    </row>
    <row r="11" spans="1:18" ht="17.100000000000001" customHeight="1" x14ac:dyDescent="0.25">
      <c r="A11" s="7"/>
      <c r="B11" s="46" t="str">
        <f>B7</f>
        <v>Matrix [A]</v>
      </c>
      <c r="C11" s="44" t="s">
        <v>1</v>
      </c>
      <c r="D11" s="75" t="s">
        <v>2</v>
      </c>
      <c r="E11" s="30" t="str">
        <f>_xlfn.CONCAT("a = ",E7)</f>
        <v>a = 0</v>
      </c>
      <c r="F11" s="30" t="str">
        <f>_xlfn.CONCAT("b = ",F7)</f>
        <v>b = 0</v>
      </c>
      <c r="G11" s="75" t="s">
        <v>3</v>
      </c>
      <c r="H11" s="11"/>
      <c r="I11" s="28"/>
      <c r="J11" s="17"/>
      <c r="K11" s="12"/>
      <c r="L11" s="14"/>
      <c r="M11" s="28"/>
      <c r="P11" s="7"/>
    </row>
    <row r="12" spans="1:18" ht="17.100000000000001" customHeight="1" x14ac:dyDescent="0.25">
      <c r="A12" s="7"/>
      <c r="B12" s="46"/>
      <c r="C12" s="44"/>
      <c r="D12" s="75"/>
      <c r="E12" s="30" t="str">
        <f>_xlfn.CONCAT("c = ",E8)</f>
        <v>c = 0</v>
      </c>
      <c r="F12" s="30" t="str">
        <f>_xlfn.CONCAT("d = ",F8)</f>
        <v>d = 0</v>
      </c>
      <c r="G12" s="75"/>
      <c r="H12" s="11"/>
      <c r="I12" s="28"/>
      <c r="J12" s="18"/>
      <c r="K12" s="41"/>
      <c r="L12" s="13"/>
      <c r="M12" s="28"/>
      <c r="P12" s="7"/>
    </row>
    <row r="13" spans="1:18" ht="17.100000000000001" customHeight="1" x14ac:dyDescent="0.25">
      <c r="A13" s="7"/>
      <c r="P13" s="7"/>
    </row>
    <row r="14" spans="1:18" ht="17.100000000000001" customHeight="1" x14ac:dyDescent="0.25">
      <c r="A14" s="7"/>
      <c r="B14" s="43" t="str">
        <f>_xlfn.CONCAT("Determinant of Matrix ","[",C4,"]")</f>
        <v>Determinant of Matrix [A]</v>
      </c>
      <c r="C14" s="44" t="s">
        <v>1</v>
      </c>
      <c r="D14" s="78" t="s">
        <v>35</v>
      </c>
      <c r="E14" s="30">
        <f>E7</f>
        <v>0</v>
      </c>
      <c r="F14" s="30">
        <f>F7</f>
        <v>0</v>
      </c>
      <c r="G14" s="78" t="s">
        <v>35</v>
      </c>
      <c r="H14" s="44" t="s">
        <v>1</v>
      </c>
      <c r="I14" s="44" t="str">
        <f>_xlfn.CONCAT("(",E7,_xlfn.UNICHAR(215),F8,") ",_xlfn.UNICHAR(8722)," (",F7,_xlfn.UNICHAR(215),E8,")")</f>
        <v>(0×0) − (0×0)</v>
      </c>
      <c r="J14" s="44"/>
      <c r="K14" s="44"/>
      <c r="L14" s="44"/>
      <c r="M14" s="44"/>
      <c r="N14" s="44" t="s">
        <v>1</v>
      </c>
      <c r="O14" s="44">
        <f>(E14*F15)-(F14*E15)</f>
        <v>0</v>
      </c>
      <c r="P14" s="7"/>
    </row>
    <row r="15" spans="1:18" ht="17.100000000000001" customHeight="1" x14ac:dyDescent="0.25">
      <c r="A15" s="7"/>
      <c r="B15" s="43"/>
      <c r="C15" s="44"/>
      <c r="D15" s="78"/>
      <c r="E15" s="30">
        <f>E8</f>
        <v>0</v>
      </c>
      <c r="F15" s="30">
        <f>F8</f>
        <v>0</v>
      </c>
      <c r="G15" s="78"/>
      <c r="H15" s="44"/>
      <c r="I15" s="44"/>
      <c r="J15" s="44"/>
      <c r="K15" s="44"/>
      <c r="L15" s="44"/>
      <c r="M15" s="44"/>
      <c r="N15" s="44"/>
      <c r="O15" s="44"/>
      <c r="P15" s="7"/>
    </row>
    <row r="16" spans="1:18" ht="17.100000000000001" customHeight="1" thickBot="1" x14ac:dyDescent="0.3">
      <c r="A16" s="7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10"/>
    </row>
    <row r="17" s="38" customFormat="1" ht="16.5" thickTop="1" x14ac:dyDescent="0.25"/>
  </sheetData>
  <sheetProtection algorithmName="SHA-512" hashValue="qOPQlznnOPisXDmMzN6lhlabQT0wJOOYVazG8fz+vNHCQzPBrJ1bsULoxATB/21ZIWBMduzkeD0WA7yxGooxdg==" saltValue="xUb2Vm3q6za7gckiobbZZg==" spinCount="100000" sheet="1" objects="1" scenarios="1"/>
  <mergeCells count="20">
    <mergeCell ref="H14:H15"/>
    <mergeCell ref="I14:M15"/>
    <mergeCell ref="N14:N15"/>
    <mergeCell ref="O14:O15"/>
    <mergeCell ref="B14:B15"/>
    <mergeCell ref="C14:C15"/>
    <mergeCell ref="D14:D15"/>
    <mergeCell ref="G14:G15"/>
    <mergeCell ref="B11:B12"/>
    <mergeCell ref="C11:C12"/>
    <mergeCell ref="D11:D12"/>
    <mergeCell ref="G11:G12"/>
    <mergeCell ref="B2:P2"/>
    <mergeCell ref="D4:P4"/>
    <mergeCell ref="B7:B8"/>
    <mergeCell ref="C7:C8"/>
    <mergeCell ref="D7:D8"/>
    <mergeCell ref="G7:G8"/>
    <mergeCell ref="H7:I8"/>
    <mergeCell ref="J7:O8"/>
  </mergeCells>
  <hyperlinks>
    <hyperlink ref="R2" location="'Main Page'!A1" display="Go to TOC Sheet" xr:uid="{B39B37A5-0864-4668-97A3-336BA1190302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51382-91F1-447E-9224-5F56048A2B9C}">
  <sheetPr codeName="Sheet29"/>
  <dimension ref="A1:AF31"/>
  <sheetViews>
    <sheetView zoomScale="115" zoomScaleNormal="115" workbookViewId="0">
      <selection activeCell="W15" sqref="W15:W17"/>
    </sheetView>
  </sheetViews>
  <sheetFormatPr defaultRowHeight="15.75" x14ac:dyDescent="0.25"/>
  <cols>
    <col min="1" max="1" width="3.42578125" style="38" customWidth="1"/>
    <col min="2" max="2" width="27.7109375" style="38" customWidth="1"/>
    <col min="3" max="3" width="10.140625" style="38" customWidth="1"/>
    <col min="4" max="9" width="7.7109375" style="38" customWidth="1"/>
    <col min="10" max="12" width="5.7109375" style="38" customWidth="1"/>
    <col min="13" max="13" width="5.140625" style="38" bestFit="1" customWidth="1"/>
    <col min="14" max="14" width="6.7109375" style="38" customWidth="1"/>
    <col min="15" max="15" width="5.140625" style="38" bestFit="1" customWidth="1"/>
    <col min="16" max="18" width="5.140625" style="38" customWidth="1"/>
    <col min="19" max="19" width="7.7109375" style="38" customWidth="1"/>
    <col min="20" max="20" width="5.7109375" style="38" customWidth="1"/>
    <col min="21" max="23" width="7.7109375" style="38" customWidth="1"/>
    <col min="24" max="25" width="5.140625" style="38" customWidth="1"/>
    <col min="26" max="26" width="9.140625" style="38"/>
    <col min="27" max="27" width="19" style="38" customWidth="1"/>
    <col min="28" max="16384" width="9.140625" style="38"/>
  </cols>
  <sheetData>
    <row r="1" spans="1:32" ht="16.5" thickBot="1" x14ac:dyDescent="0.3"/>
    <row r="2" spans="1:32" ht="17.25" thickTop="1" thickBot="1" x14ac:dyDescent="0.3">
      <c r="B2" s="47" t="s">
        <v>13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  <c r="Z2" s="4"/>
      <c r="AA2" s="5" t="s">
        <v>4</v>
      </c>
    </row>
    <row r="3" spans="1:32" ht="17.25" thickTop="1" thickBot="1" x14ac:dyDescent="0.3">
      <c r="B3" s="6"/>
      <c r="C3" s="6"/>
    </row>
    <row r="4" spans="1:32" ht="183.75" customHeight="1" thickTop="1" thickBot="1" x14ac:dyDescent="0.3">
      <c r="A4" s="7"/>
      <c r="B4" s="16" t="s">
        <v>14</v>
      </c>
      <c r="C4" s="21" t="s">
        <v>0</v>
      </c>
      <c r="D4" s="50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2"/>
    </row>
    <row r="5" spans="1:32" ht="17.25" thickTop="1" thickBot="1" x14ac:dyDescent="0.3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1:32" ht="17.100000000000001" customHeight="1" thickTop="1" thickBot="1" x14ac:dyDescent="0.3">
      <c r="A6" s="7"/>
      <c r="Y6" s="9"/>
    </row>
    <row r="7" spans="1:32" ht="17.100000000000001" customHeight="1" x14ac:dyDescent="0.25">
      <c r="A7" s="7"/>
      <c r="B7" s="46" t="str">
        <f>_xlfn.CONCAT("Matrix ","[",C4,"]")</f>
        <v>Matrix [A]</v>
      </c>
      <c r="C7" s="44" t="s">
        <v>1</v>
      </c>
      <c r="D7" s="67" t="s">
        <v>2</v>
      </c>
      <c r="E7" s="29">
        <v>0</v>
      </c>
      <c r="F7" s="29">
        <v>0</v>
      </c>
      <c r="G7" s="29">
        <v>0</v>
      </c>
      <c r="H7" s="69" t="s">
        <v>3</v>
      </c>
      <c r="I7" s="79"/>
      <c r="J7" s="55" t="str">
        <f>_xlfn.CONCAT("Enter values for Matrix [",C4,"] here")</f>
        <v>Enter values for Matrix [A] here</v>
      </c>
      <c r="K7" s="56"/>
      <c r="L7" s="56"/>
      <c r="M7" s="56"/>
      <c r="N7" s="56"/>
      <c r="O7" s="57"/>
      <c r="P7" s="27"/>
      <c r="Q7" s="27"/>
      <c r="R7" s="27"/>
      <c r="S7" s="27"/>
      <c r="T7" s="27"/>
      <c r="U7" s="27"/>
      <c r="V7" s="27"/>
      <c r="W7" s="27"/>
      <c r="X7" s="27"/>
      <c r="Y7" s="7"/>
      <c r="AB7" s="32"/>
    </row>
    <row r="8" spans="1:32" ht="17.100000000000001" customHeight="1" x14ac:dyDescent="0.25">
      <c r="A8" s="7"/>
      <c r="B8" s="46"/>
      <c r="C8" s="44"/>
      <c r="D8" s="67"/>
      <c r="E8" s="29">
        <v>0</v>
      </c>
      <c r="F8" s="29">
        <v>0</v>
      </c>
      <c r="G8" s="29">
        <v>0</v>
      </c>
      <c r="H8" s="69"/>
      <c r="I8" s="79"/>
      <c r="J8" s="72"/>
      <c r="K8" s="73"/>
      <c r="L8" s="73"/>
      <c r="M8" s="73"/>
      <c r="N8" s="73"/>
      <c r="O8" s="74"/>
      <c r="P8" s="27"/>
      <c r="Q8" s="27"/>
      <c r="R8" s="27"/>
      <c r="S8" s="27"/>
      <c r="T8" s="27"/>
      <c r="U8" s="27"/>
      <c r="V8" s="27"/>
      <c r="W8" s="27"/>
      <c r="X8" s="27"/>
      <c r="Y8" s="7"/>
      <c r="AB8" s="32"/>
    </row>
    <row r="9" spans="1:32" ht="17.100000000000001" customHeight="1" thickBot="1" x14ac:dyDescent="0.3">
      <c r="A9" s="7"/>
      <c r="B9" s="46"/>
      <c r="C9" s="44"/>
      <c r="D9" s="67"/>
      <c r="E9" s="29">
        <v>0</v>
      </c>
      <c r="F9" s="29">
        <v>0</v>
      </c>
      <c r="G9" s="29">
        <v>0</v>
      </c>
      <c r="H9" s="69"/>
      <c r="I9" s="79"/>
      <c r="J9" s="58"/>
      <c r="K9" s="59"/>
      <c r="L9" s="59"/>
      <c r="M9" s="59"/>
      <c r="N9" s="59"/>
      <c r="O9" s="60"/>
      <c r="P9" s="27"/>
      <c r="Q9" s="27"/>
      <c r="R9" s="27"/>
      <c r="S9" s="27"/>
      <c r="T9" s="27"/>
      <c r="U9" s="27"/>
      <c r="V9" s="27"/>
      <c r="W9" s="27"/>
      <c r="X9" s="27"/>
      <c r="Y9" s="7"/>
      <c r="AB9" s="30"/>
      <c r="AC9" s="30"/>
      <c r="AD9" s="30"/>
      <c r="AE9" s="30"/>
      <c r="AF9" s="30"/>
    </row>
    <row r="10" spans="1:32" ht="17.100000000000001" customHeight="1" x14ac:dyDescent="0.25">
      <c r="A10" s="7"/>
      <c r="E10" s="15"/>
      <c r="Y10" s="7"/>
      <c r="AB10" s="30"/>
      <c r="AC10" s="30"/>
      <c r="AD10" s="30"/>
      <c r="AE10" s="30"/>
      <c r="AF10" s="30"/>
    </row>
    <row r="11" spans="1:32" ht="17.100000000000001" customHeight="1" x14ac:dyDescent="0.25">
      <c r="A11" s="7"/>
      <c r="E11" s="30" t="str">
        <f>_xlfn.CONCAT("a",_xlfn.UNICHAR(8321),_xlfn.UNICHAR(8321)," = ",E7)</f>
        <v>a₁₁ = 0</v>
      </c>
      <c r="F11" s="30" t="str">
        <f>_xlfn.CONCAT("a",_xlfn.UNICHAR(8321),_xlfn.UNICHAR(8322)," = ",F7)</f>
        <v>a₁₂ = 0</v>
      </c>
      <c r="G11" s="30" t="str">
        <f>_xlfn.CONCAT("a",_xlfn.UNICHAR(8321),_xlfn.UNICHAR(8323)," = ",G7)</f>
        <v>a₁₃ = 0</v>
      </c>
      <c r="H11" s="30" t="str">
        <f>E11</f>
        <v>a₁₁ = 0</v>
      </c>
      <c r="I11" s="30" t="str">
        <f>F11</f>
        <v>a₁₂ = 0</v>
      </c>
      <c r="Y11" s="7"/>
      <c r="AB11" s="30"/>
      <c r="AC11" s="30"/>
      <c r="AD11" s="30"/>
      <c r="AE11" s="30"/>
      <c r="AF11" s="30"/>
    </row>
    <row r="12" spans="1:32" ht="17.100000000000001" customHeight="1" x14ac:dyDescent="0.25">
      <c r="A12" s="7"/>
      <c r="E12" s="30" t="str">
        <f>_xlfn.CONCAT("a",_xlfn.UNICHAR(8322),_xlfn.UNICHAR(8321)," = ",E8)</f>
        <v>a₂₁ = 0</v>
      </c>
      <c r="F12" s="30" t="str">
        <f>_xlfn.CONCAT("a",_xlfn.UNICHAR(8322),_xlfn.UNICHAR(8322)," = ",F8)</f>
        <v>a₂₂ = 0</v>
      </c>
      <c r="G12" s="30" t="str">
        <f>_xlfn.CONCAT("a",_xlfn.UNICHAR(8322),_xlfn.UNICHAR(8323)," = ",G8)</f>
        <v>a₂₃ = 0</v>
      </c>
      <c r="H12" s="30" t="str">
        <f t="shared" ref="H12:H13" si="0">E12</f>
        <v>a₂₁ = 0</v>
      </c>
      <c r="I12" s="30" t="str">
        <f t="shared" ref="I12:I13" si="1">F12</f>
        <v>a₂₂ = 0</v>
      </c>
      <c r="Y12" s="7"/>
      <c r="AB12" s="32"/>
    </row>
    <row r="13" spans="1:32" ht="17.100000000000001" customHeight="1" x14ac:dyDescent="0.25">
      <c r="A13" s="7"/>
      <c r="E13" s="30" t="str">
        <f>_xlfn.CONCAT("a",_xlfn.UNICHAR(8323),_xlfn.UNICHAR(8321)," = ",E9)</f>
        <v>a₃₁ = 0</v>
      </c>
      <c r="F13" s="30" t="str">
        <f>_xlfn.CONCAT("a",_xlfn.UNICHAR(8323),_xlfn.UNICHAR(8322)," = ",F9)</f>
        <v>a₃₂ = 0</v>
      </c>
      <c r="G13" s="30" t="str">
        <f>_xlfn.CONCAT("a",_xlfn.UNICHAR(8323),_xlfn.UNICHAR(8323)," = ",G9)</f>
        <v>a₃₃ = 0</v>
      </c>
      <c r="H13" s="30" t="str">
        <f t="shared" si="0"/>
        <v>a₃₁ = 0</v>
      </c>
      <c r="I13" s="30" t="str">
        <f t="shared" si="1"/>
        <v>a₃₂ = 0</v>
      </c>
      <c r="Y13" s="7"/>
      <c r="AB13" s="32"/>
    </row>
    <row r="14" spans="1:32" ht="17.100000000000001" customHeight="1" x14ac:dyDescent="0.25">
      <c r="A14" s="7"/>
      <c r="Y14" s="7"/>
      <c r="AB14" s="32"/>
    </row>
    <row r="15" spans="1:32" ht="17.100000000000001" customHeight="1" x14ac:dyDescent="0.25">
      <c r="A15" s="7"/>
      <c r="B15" s="43" t="str">
        <f>_xlfn.CONCAT("Determinant of Matrix ","[",C4,"]")</f>
        <v>Determinant of Matrix [A]</v>
      </c>
      <c r="C15" s="80" t="s">
        <v>1</v>
      </c>
      <c r="D15" s="81" t="s">
        <v>35</v>
      </c>
      <c r="E15" s="30">
        <f>E7</f>
        <v>0</v>
      </c>
      <c r="F15" s="30">
        <f t="shared" ref="F15:G15" si="2">F7</f>
        <v>0</v>
      </c>
      <c r="G15" s="30">
        <f t="shared" si="2"/>
        <v>0</v>
      </c>
      <c r="H15" s="81" t="s">
        <v>35</v>
      </c>
      <c r="I15" s="44" t="s">
        <v>1</v>
      </c>
      <c r="J15" s="83" t="str">
        <f>_xlfn.CONCAT("(",E7,_xlfn.UNICHAR(215),F8,_xlfn.UNICHAR(215),G9,") + ","(",F7,_xlfn.UNICHAR(215),G8,_xlfn.UNICHAR(215),E9,") + ","(",G7,_xlfn.UNICHAR(215),E8,_xlfn.UNICHAR(215),F9,")")</f>
        <v>(0×0×0) + (0×0×0) + (0×0×0)</v>
      </c>
      <c r="K15" s="83"/>
      <c r="L15" s="83"/>
      <c r="M15" s="83"/>
      <c r="N15" s="83"/>
      <c r="O15" s="83"/>
      <c r="P15" s="83"/>
      <c r="Q15" s="83"/>
      <c r="R15" s="44" t="s">
        <v>1</v>
      </c>
      <c r="S15" s="44">
        <f>((E7*F8*G9)+(F7*G8*E9)+(G7*E8*F9))</f>
        <v>0</v>
      </c>
      <c r="T15" s="44" t="s">
        <v>36</v>
      </c>
      <c r="U15" s="44">
        <f>((G7*F8*E9)+(E7*G8*F9)+(F7*E8*G9))</f>
        <v>0</v>
      </c>
      <c r="V15" s="44" t="s">
        <v>1</v>
      </c>
      <c r="W15" s="44">
        <f>S15-U15</f>
        <v>0</v>
      </c>
      <c r="Y15" s="7"/>
      <c r="AB15" s="32"/>
    </row>
    <row r="16" spans="1:32" ht="17.100000000000001" customHeight="1" x14ac:dyDescent="0.25">
      <c r="A16" s="7"/>
      <c r="B16" s="43"/>
      <c r="C16" s="80"/>
      <c r="D16" s="81"/>
      <c r="E16" s="30">
        <f t="shared" ref="E16:G16" si="3">E8</f>
        <v>0</v>
      </c>
      <c r="F16" s="30">
        <f t="shared" si="3"/>
        <v>0</v>
      </c>
      <c r="G16" s="30">
        <f t="shared" si="3"/>
        <v>0</v>
      </c>
      <c r="H16" s="81"/>
      <c r="I16" s="44"/>
      <c r="J16" s="61" t="s">
        <v>36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Y16" s="7"/>
      <c r="AB16" s="37"/>
    </row>
    <row r="17" spans="1:28" ht="17.100000000000001" customHeight="1" x14ac:dyDescent="0.25">
      <c r="A17" s="7"/>
      <c r="B17" s="43"/>
      <c r="C17" s="80"/>
      <c r="D17" s="81"/>
      <c r="E17" s="30">
        <f t="shared" ref="E17:G17" si="4">E9</f>
        <v>0</v>
      </c>
      <c r="F17" s="30">
        <f t="shared" si="4"/>
        <v>0</v>
      </c>
      <c r="G17" s="30">
        <f t="shared" si="4"/>
        <v>0</v>
      </c>
      <c r="H17" s="81"/>
      <c r="I17" s="44"/>
      <c r="J17" s="82" t="str">
        <f>_xlfn.CONCAT("(",G7,_xlfn.UNICHAR(215),F8,_xlfn.UNICHAR(215),E9,") + ","(",E7,_xlfn.UNICHAR(215),G8,_xlfn.UNICHAR(215),F9,") + ","(",F7,_xlfn.UNICHAR(215),E8,_xlfn.UNICHAR(215),G9,")")</f>
        <v>(0×0×0) + (0×0×0) + (0×0×0)</v>
      </c>
      <c r="K17" s="82"/>
      <c r="L17" s="82"/>
      <c r="M17" s="82"/>
      <c r="N17" s="82"/>
      <c r="O17" s="82"/>
      <c r="P17" s="82"/>
      <c r="Q17" s="82"/>
      <c r="R17" s="44"/>
      <c r="S17" s="44"/>
      <c r="T17" s="44"/>
      <c r="U17" s="44"/>
      <c r="V17" s="44"/>
      <c r="W17" s="44"/>
      <c r="Y17" s="7"/>
    </row>
    <row r="18" spans="1:28" ht="17.100000000000001" customHeight="1" thickBot="1" x14ac:dyDescent="0.3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10"/>
    </row>
    <row r="19" spans="1:28" ht="16.5" customHeight="1" thickTop="1" x14ac:dyDescent="0.25"/>
    <row r="22" spans="1:28" ht="15.75" customHeight="1" x14ac:dyDescent="0.25"/>
    <row r="25" spans="1:28" ht="15.75" customHeight="1" x14ac:dyDescent="0.25"/>
    <row r="28" spans="1:28" ht="15.75" customHeight="1" x14ac:dyDescent="0.25"/>
    <row r="30" spans="1:28" x14ac:dyDescent="0.25">
      <c r="AB30" s="32"/>
    </row>
    <row r="31" spans="1:28" ht="15.75" customHeight="1" x14ac:dyDescent="0.25"/>
  </sheetData>
  <sheetProtection algorithmName="SHA-512" hashValue="bl8WfcSN/c1sYkPXC24gIWd87BPRpUwFWmYgko/50SORdYVSZzPfjCkY+8+hL+756gc1nuuPO8IOniqT1+wcWQ==" saltValue="EuGEQ2ZqDssAG039zggDBQ==" spinCount="100000" sheet="1" objects="1" scenarios="1"/>
  <mergeCells count="22">
    <mergeCell ref="U15:U17"/>
    <mergeCell ref="T15:T17"/>
    <mergeCell ref="W15:W17"/>
    <mergeCell ref="J16:Q16"/>
    <mergeCell ref="J17:Q17"/>
    <mergeCell ref="R15:R17"/>
    <mergeCell ref="V15:V17"/>
    <mergeCell ref="S15:S17"/>
    <mergeCell ref="J15:Q15"/>
    <mergeCell ref="B15:B17"/>
    <mergeCell ref="C15:C17"/>
    <mergeCell ref="D15:D17"/>
    <mergeCell ref="H15:H17"/>
    <mergeCell ref="I15:I17"/>
    <mergeCell ref="B2:Y2"/>
    <mergeCell ref="D4:Y4"/>
    <mergeCell ref="B7:B9"/>
    <mergeCell ref="C7:C9"/>
    <mergeCell ref="D7:D9"/>
    <mergeCell ref="H7:H9"/>
    <mergeCell ref="I7:I9"/>
    <mergeCell ref="J7:O9"/>
  </mergeCells>
  <hyperlinks>
    <hyperlink ref="AA2" location="'Main Page'!A1" display="Go to TOC Sheet" xr:uid="{ED188901-6D1D-48EA-BCBD-22674FE608E0}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Page</vt:lpstr>
      <vt:lpstr>Cofactor of 2x2 Matrix</vt:lpstr>
      <vt:lpstr>Cofactor of 3x3 Matrix</vt:lpstr>
      <vt:lpstr>Determinant of 2x2 Matrix</vt:lpstr>
      <vt:lpstr>Determinant of 3x3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 Jee</dc:creator>
  <cp:lastModifiedBy>Hamad Hassan Awan</cp:lastModifiedBy>
  <dcterms:created xsi:type="dcterms:W3CDTF">2015-06-05T18:17:20Z</dcterms:created>
  <dcterms:modified xsi:type="dcterms:W3CDTF">2024-06-04T21:18:08Z</dcterms:modified>
</cp:coreProperties>
</file>