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l Jee\Desktop\"/>
    </mc:Choice>
  </mc:AlternateContent>
  <xr:revisionPtr revIDLastSave="0" documentId="13_ncr:1_{1DC364F8-8BD3-4CCE-BD00-A91157A57A5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 Page" sheetId="8" r:id="rId1"/>
    <sheet name="Transpose of 1x2 Matrix" sheetId="36" state="hidden" r:id="rId2"/>
    <sheet name="Transpose of 1x3 Matrix" sheetId="38" state="hidden" r:id="rId3"/>
    <sheet name="Transpose of 2x2 Matrix" sheetId="33" state="hidden" r:id="rId4"/>
    <sheet name="Transpose of 2x1 Matrix" sheetId="39" state="hidden" r:id="rId5"/>
    <sheet name="Transpose of 2x3 Matrix" sheetId="40" state="hidden" r:id="rId6"/>
    <sheet name="Transpose of 3x1 Matrix" sheetId="41" state="hidden" r:id="rId7"/>
    <sheet name="Transpose of 3x3 Matrix" sheetId="34" state="hidden" r:id="rId8"/>
    <sheet name="Transpose of 3x2 Matrix" sheetId="42" state="hidden" r:id="rId9"/>
    <sheet name="Addition of 2x2 Matrix" sheetId="29" state="hidden" r:id="rId10"/>
    <sheet name="Subtraction of 2x2 Matrix" sheetId="30" state="hidden" r:id="rId11"/>
    <sheet name="Addition of 3x3 Matrix" sheetId="31" state="hidden" r:id="rId12"/>
    <sheet name="Subtraction of 3x3 Matrix" sheetId="32" state="hidden" r:id="rId13"/>
    <sheet name="1" sheetId="9" state="hidden" r:id="rId14"/>
    <sheet name="2" sheetId="10" state="hidden" r:id="rId15"/>
    <sheet name="3" sheetId="11" state="hidden" r:id="rId16"/>
    <sheet name="4" sheetId="12" state="hidden" r:id="rId17"/>
    <sheet name="5" sheetId="13" state="hidden" r:id="rId18"/>
    <sheet name="6" sheetId="14" state="hidden" r:id="rId19"/>
    <sheet name="7" sheetId="15" state="hidden" r:id="rId20"/>
    <sheet name="8" sheetId="16" state="hidden" r:id="rId21"/>
    <sheet name="9" sheetId="17" state="hidden" r:id="rId22"/>
    <sheet name="10" sheetId="6" state="hidden" r:id="rId23"/>
    <sheet name="11" sheetId="7" state="hidden" r:id="rId24"/>
    <sheet name="12" sheetId="19" state="hidden" r:id="rId25"/>
    <sheet name="13" sheetId="20" state="hidden" r:id="rId26"/>
    <sheet name="14" sheetId="21" state="hidden" r:id="rId27"/>
    <sheet name="15" sheetId="23" state="hidden" r:id="rId28"/>
    <sheet name="16" sheetId="22" state="hidden" r:id="rId29"/>
    <sheet name="17" sheetId="24" state="hidden" r:id="rId30"/>
    <sheet name="18" sheetId="25" state="hidden" r:id="rId31"/>
    <sheet name="19" sheetId="26" state="hidden" r:id="rId32"/>
    <sheet name="20" sheetId="27" state="hidden" r:id="rId33"/>
    <sheet name="21" sheetId="28" state="hidden" r:id="rId34"/>
    <sheet name="22" sheetId="18" state="hidden" r:id="rId3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42" l="1" a="1"/>
  <c r="E11" i="42" s="1"/>
  <c r="B11" i="42"/>
  <c r="I7" i="42"/>
  <c r="B7" i="42"/>
  <c r="E11" i="41" a="1"/>
  <c r="E11" i="41" s="1"/>
  <c r="B11" i="41"/>
  <c r="H7" i="41"/>
  <c r="B7" i="41"/>
  <c r="E10" i="40" a="1"/>
  <c r="E10" i="40" s="1"/>
  <c r="B10" i="40"/>
  <c r="K7" i="40"/>
  <c r="B7" i="40"/>
  <c r="E10" i="39" a="1"/>
  <c r="E10" i="39" s="1"/>
  <c r="B10" i="39"/>
  <c r="H7" i="39"/>
  <c r="B7" i="39"/>
  <c r="E10" i="38" a="1"/>
  <c r="E10" i="38" s="1"/>
  <c r="B10" i="38"/>
  <c r="K7" i="38"/>
  <c r="B7" i="38"/>
  <c r="E10" i="36" a="1"/>
  <c r="E10" i="36" s="1"/>
  <c r="B10" i="36"/>
  <c r="J7" i="36"/>
  <c r="B7" i="36"/>
  <c r="E11" i="34" a="1"/>
  <c r="G13" i="34" s="1"/>
  <c r="B11" i="34"/>
  <c r="K7" i="34"/>
  <c r="B7" i="34"/>
  <c r="E10" i="33" a="1"/>
  <c r="E10" i="33" s="1"/>
  <c r="B10" i="33"/>
  <c r="J7" i="33"/>
  <c r="B7" i="33"/>
  <c r="E12" i="42" l="1"/>
  <c r="G12" i="42"/>
  <c r="F11" i="42"/>
  <c r="G11" i="42"/>
  <c r="F12" i="42"/>
  <c r="G11" i="41"/>
  <c r="F11" i="41"/>
  <c r="F10" i="40"/>
  <c r="F11" i="40"/>
  <c r="E11" i="40"/>
  <c r="F12" i="40"/>
  <c r="E12" i="40"/>
  <c r="F10" i="39"/>
  <c r="E11" i="38"/>
  <c r="E12" i="38"/>
  <c r="E11" i="36"/>
  <c r="F10" i="33"/>
  <c r="F11" i="34"/>
  <c r="G12" i="34"/>
  <c r="E11" i="33"/>
  <c r="G11" i="34"/>
  <c r="E13" i="34"/>
  <c r="E12" i="34"/>
  <c r="F13" i="34"/>
  <c r="F11" i="33"/>
  <c r="E11" i="34"/>
  <c r="F12" i="34"/>
  <c r="F22" i="32"/>
  <c r="E22" i="32"/>
  <c r="B20" i="32"/>
  <c r="M18" i="32"/>
  <c r="L18" i="32"/>
  <c r="K18" i="32"/>
  <c r="G18" i="32"/>
  <c r="G22" i="32" s="1"/>
  <c r="F18" i="32"/>
  <c r="E18" i="32"/>
  <c r="M17" i="32"/>
  <c r="L17" i="32"/>
  <c r="K17" i="32"/>
  <c r="G17" i="32"/>
  <c r="G21" i="32" s="1"/>
  <c r="F17" i="32"/>
  <c r="F21" i="32" s="1"/>
  <c r="E17" i="32"/>
  <c r="E21" i="32" s="1"/>
  <c r="M16" i="32"/>
  <c r="L16" i="32"/>
  <c r="K16" i="32"/>
  <c r="G16" i="32"/>
  <c r="G20" i="32" s="1"/>
  <c r="F16" i="32"/>
  <c r="F20" i="32" s="1"/>
  <c r="E16" i="32"/>
  <c r="E24" i="32" s="1" a="1"/>
  <c r="B16" i="32"/>
  <c r="B24" i="32" s="1"/>
  <c r="K12" i="32"/>
  <c r="B12" i="32"/>
  <c r="K8" i="32"/>
  <c r="B8" i="32"/>
  <c r="F22" i="31"/>
  <c r="E22" i="31"/>
  <c r="B20" i="31"/>
  <c r="M18" i="31"/>
  <c r="L18" i="31"/>
  <c r="K18" i="31"/>
  <c r="G18" i="31"/>
  <c r="G22" i="31" s="1"/>
  <c r="F18" i="31"/>
  <c r="E18" i="31"/>
  <c r="M17" i="31"/>
  <c r="L17" i="31"/>
  <c r="K17" i="31"/>
  <c r="G17" i="31"/>
  <c r="F17" i="31"/>
  <c r="F21" i="31" s="1"/>
  <c r="E17" i="31"/>
  <c r="E21" i="31" s="1"/>
  <c r="M16" i="31"/>
  <c r="L16" i="31"/>
  <c r="K16" i="31"/>
  <c r="G16" i="31"/>
  <c r="G20" i="31" s="1"/>
  <c r="F16" i="31"/>
  <c r="E24" i="31" s="1" a="1"/>
  <c r="E16" i="31"/>
  <c r="E20" i="31" s="1"/>
  <c r="B16" i="31"/>
  <c r="B24" i="31" s="1"/>
  <c r="K12" i="31"/>
  <c r="B12" i="31"/>
  <c r="K8" i="31"/>
  <c r="B8" i="31"/>
  <c r="B20" i="30"/>
  <c r="F17" i="30"/>
  <c r="K15" i="30"/>
  <c r="J15" i="30"/>
  <c r="F15" i="30"/>
  <c r="F18" i="30" s="1"/>
  <c r="E15" i="30"/>
  <c r="E18" i="30" s="1"/>
  <c r="K14" i="30"/>
  <c r="J14" i="30"/>
  <c r="E17" i="30" s="1"/>
  <c r="F14" i="30"/>
  <c r="E14" i="30"/>
  <c r="B14" i="30"/>
  <c r="B17" i="30" s="1"/>
  <c r="J11" i="30"/>
  <c r="B11" i="30"/>
  <c r="J8" i="30"/>
  <c r="B8" i="30"/>
  <c r="B20" i="29"/>
  <c r="F17" i="29"/>
  <c r="K15" i="29"/>
  <c r="J15" i="29"/>
  <c r="F15" i="29"/>
  <c r="F18" i="29" s="1"/>
  <c r="E15" i="29"/>
  <c r="E18" i="29" s="1"/>
  <c r="K14" i="29"/>
  <c r="J14" i="29"/>
  <c r="E17" i="29" s="1"/>
  <c r="F14" i="29"/>
  <c r="E14" i="29"/>
  <c r="B14" i="29"/>
  <c r="B17" i="29" s="1"/>
  <c r="J11" i="29"/>
  <c r="B11" i="29"/>
  <c r="J8" i="29"/>
  <c r="B8" i="29"/>
  <c r="G21" i="31" l="1"/>
  <c r="F26" i="31"/>
  <c r="E25" i="31"/>
  <c r="E26" i="31"/>
  <c r="G24" i="31"/>
  <c r="G26" i="31"/>
  <c r="F25" i="31"/>
  <c r="E24" i="31"/>
  <c r="G25" i="31"/>
  <c r="F24" i="31"/>
  <c r="G26" i="32"/>
  <c r="F25" i="32"/>
  <c r="E24" i="32"/>
  <c r="F26" i="32"/>
  <c r="E25" i="32"/>
  <c r="E26" i="32"/>
  <c r="G24" i="32"/>
  <c r="G25" i="32"/>
  <c r="F24" i="32"/>
  <c r="E20" i="32"/>
  <c r="E20" i="29" a="1"/>
  <c r="E20" i="30" a="1"/>
  <c r="F20" i="31"/>
  <c r="E21" i="29" l="1"/>
  <c r="F20" i="29"/>
  <c r="F21" i="29"/>
  <c r="E20" i="29"/>
  <c r="E21" i="30"/>
  <c r="F20" i="30"/>
  <c r="F21" i="30"/>
  <c r="E20" i="30"/>
  <c r="L18" i="28"/>
  <c r="K18" i="28"/>
  <c r="G18" i="28"/>
  <c r="F18" i="28"/>
  <c r="E18" i="28"/>
  <c r="L17" i="28"/>
  <c r="K17" i="28"/>
  <c r="G17" i="28"/>
  <c r="F17" i="28"/>
  <c r="E17" i="28"/>
  <c r="L16" i="28"/>
  <c r="K16" i="28"/>
  <c r="I16" i="28"/>
  <c r="G16" i="28"/>
  <c r="F16" i="28"/>
  <c r="E16" i="28"/>
  <c r="B16" i="28"/>
  <c r="B20" i="28" s="1"/>
  <c r="J12" i="28"/>
  <c r="B12" i="28"/>
  <c r="K8" i="28"/>
  <c r="B8" i="28"/>
  <c r="K18" i="27"/>
  <c r="G18" i="27"/>
  <c r="F18" i="27"/>
  <c r="E18" i="27"/>
  <c r="K17" i="27"/>
  <c r="G17" i="27"/>
  <c r="F17" i="27"/>
  <c r="E17" i="27"/>
  <c r="K16" i="27"/>
  <c r="I16" i="27"/>
  <c r="G16" i="27"/>
  <c r="F16" i="27"/>
  <c r="E16" i="27"/>
  <c r="B16" i="27"/>
  <c r="B20" i="27" s="1"/>
  <c r="H12" i="27"/>
  <c r="B12" i="27"/>
  <c r="K8" i="27"/>
  <c r="B8" i="27"/>
  <c r="H19" i="26"/>
  <c r="J8" i="26"/>
  <c r="F17" i="26"/>
  <c r="E17" i="26"/>
  <c r="M21" i="26" s="1"/>
  <c r="L16" i="26"/>
  <c r="K16" i="26"/>
  <c r="J16" i="26"/>
  <c r="F16" i="26"/>
  <c r="E16" i="26"/>
  <c r="L15" i="26"/>
  <c r="K15" i="26"/>
  <c r="J15" i="26"/>
  <c r="H15" i="26"/>
  <c r="F15" i="26"/>
  <c r="E15" i="26"/>
  <c r="B15" i="26"/>
  <c r="B19" i="26" s="1"/>
  <c r="K12" i="26"/>
  <c r="B12" i="26"/>
  <c r="B8" i="26"/>
  <c r="E23" i="25" a="1"/>
  <c r="E23" i="25" s="1"/>
  <c r="J8" i="25"/>
  <c r="F17" i="25"/>
  <c r="E17" i="25"/>
  <c r="E21" i="25" s="1"/>
  <c r="K16" i="25"/>
  <c r="J16" i="25"/>
  <c r="F16" i="25"/>
  <c r="E16" i="25"/>
  <c r="E20" i="25" s="1"/>
  <c r="K15" i="25"/>
  <c r="J15" i="25"/>
  <c r="H15" i="25"/>
  <c r="F15" i="25"/>
  <c r="E15" i="25"/>
  <c r="E19" i="25" s="1"/>
  <c r="B15" i="25"/>
  <c r="B19" i="25" s="1"/>
  <c r="J12" i="25"/>
  <c r="B12" i="25"/>
  <c r="B8" i="25"/>
  <c r="F17" i="24"/>
  <c r="E17" i="24"/>
  <c r="J16" i="24"/>
  <c r="F16" i="24"/>
  <c r="E16" i="24"/>
  <c r="J15" i="24"/>
  <c r="E19" i="24" s="1"/>
  <c r="H15" i="24"/>
  <c r="F15" i="24"/>
  <c r="E15" i="24"/>
  <c r="B15" i="24"/>
  <c r="B19" i="24" s="1"/>
  <c r="H12" i="24"/>
  <c r="B12" i="24"/>
  <c r="J8" i="24"/>
  <c r="B8" i="24"/>
  <c r="I8" i="23"/>
  <c r="E17" i="23"/>
  <c r="E21" i="23" s="1"/>
  <c r="E16" i="23"/>
  <c r="E20" i="23" s="1"/>
  <c r="J15" i="23"/>
  <c r="I21" i="23" s="1"/>
  <c r="I15" i="23"/>
  <c r="E19" i="23" s="1"/>
  <c r="G15" i="23"/>
  <c r="E15" i="23"/>
  <c r="B15" i="23"/>
  <c r="B19" i="23" s="1"/>
  <c r="J12" i="23"/>
  <c r="B12" i="23"/>
  <c r="B8" i="23"/>
  <c r="E17" i="22"/>
  <c r="G21" i="22" s="1"/>
  <c r="E16" i="22"/>
  <c r="K15" i="22"/>
  <c r="J15" i="22"/>
  <c r="I15" i="22"/>
  <c r="G15" i="22"/>
  <c r="E15" i="22"/>
  <c r="B15" i="22"/>
  <c r="B19" i="22" s="1"/>
  <c r="K12" i="22"/>
  <c r="B12" i="22"/>
  <c r="I8" i="22"/>
  <c r="B8" i="22"/>
  <c r="M17" i="21"/>
  <c r="L17" i="21"/>
  <c r="K17" i="21"/>
  <c r="M16" i="21"/>
  <c r="L16" i="21"/>
  <c r="K16" i="21"/>
  <c r="G16" i="21"/>
  <c r="F16" i="21"/>
  <c r="E16" i="21"/>
  <c r="M15" i="21"/>
  <c r="L15" i="21"/>
  <c r="I20" i="21" s="1"/>
  <c r="K15" i="21"/>
  <c r="I15" i="21"/>
  <c r="G15" i="21"/>
  <c r="F15" i="21"/>
  <c r="E15" i="21"/>
  <c r="B15" i="21"/>
  <c r="B19" i="21" s="1"/>
  <c r="K11" i="21"/>
  <c r="B11" i="21"/>
  <c r="K8" i="21"/>
  <c r="B8" i="21"/>
  <c r="K17" i="20"/>
  <c r="L17" i="20"/>
  <c r="L16" i="20"/>
  <c r="I20" i="20" s="1"/>
  <c r="K16" i="20"/>
  <c r="G16" i="20"/>
  <c r="F16" i="20"/>
  <c r="E16" i="20"/>
  <c r="L15" i="20"/>
  <c r="K15" i="20"/>
  <c r="I15" i="20"/>
  <c r="G15" i="20"/>
  <c r="F15" i="20"/>
  <c r="E15" i="20"/>
  <c r="B15" i="20"/>
  <c r="B19" i="20" s="1"/>
  <c r="J11" i="20"/>
  <c r="B11" i="20"/>
  <c r="K8" i="20"/>
  <c r="B8" i="20"/>
  <c r="E22" i="19" a="1"/>
  <c r="E22" i="19" s="1"/>
  <c r="K17" i="19"/>
  <c r="K16" i="19"/>
  <c r="G16" i="19"/>
  <c r="F16" i="19"/>
  <c r="E16" i="19"/>
  <c r="K15" i="19"/>
  <c r="I15" i="19"/>
  <c r="G15" i="19"/>
  <c r="F15" i="19"/>
  <c r="E15" i="19"/>
  <c r="B15" i="19"/>
  <c r="B19" i="19" s="1"/>
  <c r="H11" i="19"/>
  <c r="B11" i="19"/>
  <c r="K8" i="19"/>
  <c r="B8" i="19"/>
  <c r="E20" i="18"/>
  <c r="M18" i="18"/>
  <c r="L18" i="18"/>
  <c r="K18" i="18"/>
  <c r="G18" i="18"/>
  <c r="F18" i="18"/>
  <c r="E18" i="18"/>
  <c r="M17" i="18"/>
  <c r="L17" i="18"/>
  <c r="K17" i="18"/>
  <c r="G17" i="18"/>
  <c r="F17" i="18"/>
  <c r="E17" i="18"/>
  <c r="E21" i="18" s="1"/>
  <c r="M16" i="18"/>
  <c r="L16" i="18"/>
  <c r="K16" i="18"/>
  <c r="I16" i="18"/>
  <c r="G16" i="18"/>
  <c r="F16" i="18"/>
  <c r="E16" i="18"/>
  <c r="B16" i="18"/>
  <c r="B20" i="18" s="1"/>
  <c r="K12" i="18"/>
  <c r="B12" i="18"/>
  <c r="K8" i="18"/>
  <c r="B8" i="18"/>
  <c r="J15" i="17"/>
  <c r="F15" i="17"/>
  <c r="E15" i="17"/>
  <c r="E18" i="17" s="1"/>
  <c r="J14" i="17"/>
  <c r="H14" i="17"/>
  <c r="F14" i="17"/>
  <c r="E14" i="17"/>
  <c r="B14" i="17"/>
  <c r="B20" i="17" s="1"/>
  <c r="I11" i="17"/>
  <c r="B11" i="17"/>
  <c r="J8" i="17"/>
  <c r="B8" i="17"/>
  <c r="E15" i="16"/>
  <c r="K14" i="16"/>
  <c r="J14" i="16"/>
  <c r="I14" i="16"/>
  <c r="G14" i="16"/>
  <c r="E14" i="16"/>
  <c r="B14" i="16"/>
  <c r="B17" i="16" s="1"/>
  <c r="K11" i="16"/>
  <c r="B11" i="16"/>
  <c r="H8" i="16"/>
  <c r="B8" i="16"/>
  <c r="H18" i="15"/>
  <c r="G14" i="15"/>
  <c r="E15" i="15"/>
  <c r="E18" i="15" s="1"/>
  <c r="J14" i="15"/>
  <c r="I14" i="15"/>
  <c r="E14" i="15"/>
  <c r="H17" i="15" s="1"/>
  <c r="B14" i="15"/>
  <c r="B20" i="15" s="1"/>
  <c r="J11" i="15"/>
  <c r="B11" i="15"/>
  <c r="J8" i="15"/>
  <c r="B8" i="15"/>
  <c r="I19" i="14"/>
  <c r="M17" i="14"/>
  <c r="L17" i="14"/>
  <c r="K17" i="14"/>
  <c r="M16" i="14"/>
  <c r="L16" i="14"/>
  <c r="K16" i="14"/>
  <c r="M15" i="14"/>
  <c r="L15" i="14"/>
  <c r="K15" i="14"/>
  <c r="I15" i="14"/>
  <c r="G15" i="14"/>
  <c r="F15" i="14"/>
  <c r="E15" i="14"/>
  <c r="E19" i="14" s="1"/>
  <c r="B15" i="14"/>
  <c r="B19" i="14" s="1"/>
  <c r="K11" i="14"/>
  <c r="B11" i="14"/>
  <c r="K8" i="14"/>
  <c r="B8" i="14"/>
  <c r="E23" i="13" a="1"/>
  <c r="E23" i="13" s="1"/>
  <c r="K16" i="13"/>
  <c r="L16" i="13"/>
  <c r="K17" i="13"/>
  <c r="L17" i="13"/>
  <c r="L15" i="13"/>
  <c r="K15" i="13"/>
  <c r="I15" i="13"/>
  <c r="G15" i="13"/>
  <c r="F15" i="13"/>
  <c r="E15" i="13"/>
  <c r="B15" i="13"/>
  <c r="B19" i="13" s="1"/>
  <c r="K11" i="13"/>
  <c r="B11" i="13"/>
  <c r="K8" i="13"/>
  <c r="B8" i="13"/>
  <c r="E23" i="12" a="1"/>
  <c r="E23" i="12" s="1"/>
  <c r="K17" i="12"/>
  <c r="K16" i="12"/>
  <c r="K15" i="12"/>
  <c r="I15" i="12"/>
  <c r="G15" i="12"/>
  <c r="F15" i="12"/>
  <c r="E19" i="12" s="1"/>
  <c r="E15" i="12"/>
  <c r="B15" i="12"/>
  <c r="B19" i="12" s="1"/>
  <c r="K11" i="12"/>
  <c r="B11" i="12"/>
  <c r="K8" i="12"/>
  <c r="B8" i="12"/>
  <c r="L14" i="11"/>
  <c r="L15" i="11"/>
  <c r="E14" i="11"/>
  <c r="K15" i="11"/>
  <c r="J15" i="11"/>
  <c r="K14" i="11"/>
  <c r="J14" i="11"/>
  <c r="E21" i="11" s="1" a="1"/>
  <c r="E21" i="11" s="1"/>
  <c r="H14" i="11"/>
  <c r="B14" i="11"/>
  <c r="B17" i="11" s="1"/>
  <c r="K11" i="11"/>
  <c r="B11" i="11"/>
  <c r="K8" i="11"/>
  <c r="B8" i="11"/>
  <c r="H17" i="10"/>
  <c r="E17" i="10"/>
  <c r="E14" i="10"/>
  <c r="J14" i="10"/>
  <c r="E20" i="10" s="1" a="1"/>
  <c r="E20" i="10" s="1"/>
  <c r="K15" i="10"/>
  <c r="J15" i="10"/>
  <c r="K14" i="10"/>
  <c r="H14" i="10"/>
  <c r="B14" i="10"/>
  <c r="B20" i="10" s="1"/>
  <c r="J11" i="10"/>
  <c r="B11" i="10"/>
  <c r="J8" i="10"/>
  <c r="B8" i="10"/>
  <c r="E13" i="9"/>
  <c r="F13" i="9"/>
  <c r="E19" i="9" s="1" a="1"/>
  <c r="E19" i="9" s="1"/>
  <c r="J14" i="9"/>
  <c r="J13" i="9"/>
  <c r="H13" i="9"/>
  <c r="B13" i="9"/>
  <c r="B19" i="9" s="1"/>
  <c r="J10" i="9"/>
  <c r="B10" i="9"/>
  <c r="J8" i="9"/>
  <c r="B8" i="9"/>
  <c r="E17" i="6"/>
  <c r="J15" i="7"/>
  <c r="K15" i="7"/>
  <c r="L15" i="7"/>
  <c r="K14" i="7"/>
  <c r="L14" i="7"/>
  <c r="E15" i="7"/>
  <c r="F15" i="7"/>
  <c r="F14" i="7"/>
  <c r="J14" i="7"/>
  <c r="H14" i="7"/>
  <c r="E14" i="7"/>
  <c r="H17" i="7" s="1"/>
  <c r="B14" i="7"/>
  <c r="B20" i="7" s="1"/>
  <c r="K11" i="7"/>
  <c r="B11" i="7"/>
  <c r="K8" i="7"/>
  <c r="B8" i="7"/>
  <c r="H14" i="6"/>
  <c r="B14" i="6"/>
  <c r="B20" i="6" s="1"/>
  <c r="K15" i="6"/>
  <c r="J15" i="6"/>
  <c r="F15" i="6"/>
  <c r="E15" i="6"/>
  <c r="H18" i="6" s="1"/>
  <c r="K14" i="6"/>
  <c r="J14" i="6"/>
  <c r="F14" i="6"/>
  <c r="E14" i="6"/>
  <c r="E20" i="6" s="1" a="1"/>
  <c r="E20" i="6" s="1"/>
  <c r="J11" i="6"/>
  <c r="B11" i="6"/>
  <c r="J8" i="6"/>
  <c r="B8" i="6"/>
  <c r="E21" i="28" l="1"/>
  <c r="E24" i="28" a="1"/>
  <c r="E24" i="28" s="1"/>
  <c r="M20" i="26"/>
  <c r="E23" i="26" a="1"/>
  <c r="E25" i="26" s="1"/>
  <c r="E17" i="11"/>
  <c r="J17" i="11"/>
  <c r="I20" i="18"/>
  <c r="N21" i="18"/>
  <c r="N22" i="18"/>
  <c r="B24" i="18"/>
  <c r="I22" i="18"/>
  <c r="E24" i="27" a="1"/>
  <c r="E24" i="27" s="1"/>
  <c r="I21" i="25"/>
  <c r="E21" i="24"/>
  <c r="F20" i="22"/>
  <c r="E23" i="22" a="1"/>
  <c r="G24" i="22" s="1"/>
  <c r="E23" i="23" a="1"/>
  <c r="F23" i="23" s="1"/>
  <c r="E23" i="21" a="1"/>
  <c r="E23" i="21" s="1"/>
  <c r="E20" i="21"/>
  <c r="E19" i="21"/>
  <c r="I19" i="21"/>
  <c r="N20" i="21"/>
  <c r="N19" i="21"/>
  <c r="E20" i="7" a="1"/>
  <c r="E20" i="7" s="1"/>
  <c r="L18" i="7"/>
  <c r="H17" i="6"/>
  <c r="B17" i="6"/>
  <c r="E18" i="6"/>
  <c r="B17" i="17"/>
  <c r="E17" i="17"/>
  <c r="E17" i="15"/>
  <c r="E20" i="15" a="1"/>
  <c r="E20" i="15" s="1"/>
  <c r="N19" i="14"/>
  <c r="E23" i="14" a="1"/>
  <c r="E23" i="14" s="1"/>
  <c r="G17" i="11"/>
  <c r="I21" i="28"/>
  <c r="I22" i="28"/>
  <c r="E20" i="28"/>
  <c r="I20" i="28"/>
  <c r="B24" i="28"/>
  <c r="E22" i="28"/>
  <c r="E20" i="27"/>
  <c r="E21" i="27"/>
  <c r="E22" i="27"/>
  <c r="B24" i="27"/>
  <c r="E20" i="26"/>
  <c r="H20" i="26"/>
  <c r="H21" i="26"/>
  <c r="M19" i="26"/>
  <c r="E19" i="26"/>
  <c r="E21" i="26"/>
  <c r="B23" i="26"/>
  <c r="I20" i="25"/>
  <c r="I19" i="25"/>
  <c r="F24" i="25"/>
  <c r="E24" i="25"/>
  <c r="F25" i="25"/>
  <c r="F23" i="25"/>
  <c r="E25" i="25"/>
  <c r="B23" i="25"/>
  <c r="E23" i="24" a="1"/>
  <c r="E23" i="24" s="1"/>
  <c r="E20" i="24"/>
  <c r="B23" i="24"/>
  <c r="F25" i="23"/>
  <c r="I20" i="23"/>
  <c r="I19" i="23"/>
  <c r="B23" i="23"/>
  <c r="G23" i="22"/>
  <c r="G25" i="22"/>
  <c r="F19" i="22"/>
  <c r="G20" i="22"/>
  <c r="G19" i="22"/>
  <c r="E21" i="22"/>
  <c r="E20" i="22"/>
  <c r="F21" i="22"/>
  <c r="E19" i="22"/>
  <c r="B23" i="22"/>
  <c r="B23" i="21"/>
  <c r="E22" i="20" a="1"/>
  <c r="E22" i="20" s="1"/>
  <c r="I19" i="20"/>
  <c r="E19" i="20"/>
  <c r="E20" i="20"/>
  <c r="B22" i="20"/>
  <c r="E23" i="19"/>
  <c r="E19" i="19"/>
  <c r="E20" i="19"/>
  <c r="B22" i="19"/>
  <c r="E18" i="7"/>
  <c r="L17" i="7"/>
  <c r="E17" i="7"/>
  <c r="H18" i="7"/>
  <c r="I21" i="18"/>
  <c r="N20" i="18"/>
  <c r="E22" i="18"/>
  <c r="E24" i="18" a="1"/>
  <c r="E20" i="17" a="1"/>
  <c r="E20" i="17" s="1"/>
  <c r="F17" i="16"/>
  <c r="G18" i="16"/>
  <c r="E20" i="16" a="1"/>
  <c r="E20" i="16" s="1"/>
  <c r="G17" i="16"/>
  <c r="E18" i="16"/>
  <c r="E17" i="16"/>
  <c r="F18" i="16"/>
  <c r="B20" i="16"/>
  <c r="B17" i="15"/>
  <c r="G23" i="14"/>
  <c r="F23" i="14"/>
  <c r="B23" i="14"/>
  <c r="F23" i="13"/>
  <c r="B23" i="13"/>
  <c r="I19" i="13"/>
  <c r="E19" i="13"/>
  <c r="B23" i="12"/>
  <c r="F21" i="11"/>
  <c r="G21" i="11"/>
  <c r="B21" i="11"/>
  <c r="F20" i="10"/>
  <c r="B17" i="10"/>
  <c r="B16" i="9"/>
  <c r="E16" i="9"/>
  <c r="B17" i="7"/>
  <c r="F21" i="6"/>
  <c r="E21" i="6"/>
  <c r="F20" i="6"/>
  <c r="E26" i="28" l="1"/>
  <c r="F24" i="28"/>
  <c r="F25" i="28"/>
  <c r="F26" i="28"/>
  <c r="E25" i="28"/>
  <c r="G25" i="26"/>
  <c r="G24" i="26"/>
  <c r="E24" i="26"/>
  <c r="F23" i="26"/>
  <c r="E23" i="26"/>
  <c r="F25" i="26"/>
  <c r="F24" i="26"/>
  <c r="G23" i="26"/>
  <c r="G23" i="21"/>
  <c r="F23" i="21"/>
  <c r="F24" i="21"/>
  <c r="G24" i="21"/>
  <c r="E25" i="27"/>
  <c r="E26" i="27"/>
  <c r="F23" i="22"/>
  <c r="F24" i="22"/>
  <c r="E23" i="22"/>
  <c r="E24" i="22"/>
  <c r="F25" i="22"/>
  <c r="E25" i="22"/>
  <c r="E24" i="23"/>
  <c r="E25" i="23"/>
  <c r="E23" i="23"/>
  <c r="F24" i="23"/>
  <c r="E24" i="21"/>
  <c r="F20" i="7"/>
  <c r="G21" i="7"/>
  <c r="G20" i="7"/>
  <c r="F21" i="7"/>
  <c r="E21" i="7"/>
  <c r="F20" i="15"/>
  <c r="F21" i="15"/>
  <c r="E21" i="15"/>
  <c r="E24" i="24"/>
  <c r="E25" i="24"/>
  <c r="F23" i="20"/>
  <c r="F22" i="20"/>
  <c r="E23" i="20"/>
  <c r="G26" i="18"/>
  <c r="F25" i="18"/>
  <c r="E24" i="18"/>
  <c r="G25" i="18"/>
  <c r="F24" i="18"/>
  <c r="F26" i="18"/>
  <c r="E25" i="18"/>
  <c r="E26" i="18"/>
  <c r="G24" i="18"/>
  <c r="E21" i="17"/>
  <c r="G21" i="16"/>
  <c r="F21" i="16"/>
  <c r="E21" i="16"/>
  <c r="F20" i="16"/>
  <c r="G20" i="16"/>
</calcChain>
</file>

<file path=xl/sharedStrings.xml><?xml version="1.0" encoding="utf-8"?>
<sst xmlns="http://schemas.openxmlformats.org/spreadsheetml/2006/main" count="763" uniqueCount="83">
  <si>
    <t>A</t>
  </si>
  <si>
    <t>B</t>
  </si>
  <si>
    <t>=</t>
  </si>
  <si>
    <t>[</t>
  </si>
  <si>
    <t>]</t>
  </si>
  <si>
    <t>Enter Name of Matrix 1</t>
  </si>
  <si>
    <t>Enter Name of Matrix 2</t>
  </si>
  <si>
    <t>←</t>
  </si>
  <si>
    <t>Multiplication of 2x2 Matrix by 2x2 Matrix</t>
  </si>
  <si>
    <t>Multiplication of 3x3 Matrix by 3x3 Matrix</t>
  </si>
  <si>
    <t>1x2 multiplied by 2x1 matrix</t>
  </si>
  <si>
    <t>1x2 multiplied by 2x2 matrix</t>
  </si>
  <si>
    <t>1x2 multiplied by 2x3 matrix</t>
  </si>
  <si>
    <t>1x3 multiplied by 3x1 matrix</t>
  </si>
  <si>
    <t>1x3 multiplied by 3x2 matrix</t>
  </si>
  <si>
    <t>1x3 multiplied by 3x3 matrix</t>
  </si>
  <si>
    <t>2x2 multiplied by 2x1 matrix</t>
  </si>
  <si>
    <t>2x2 multiplied by 2x2 matrix</t>
  </si>
  <si>
    <t>2x2 multiplied by 2x3 matrix</t>
  </si>
  <si>
    <t>2x3 multiplied by 3x1 matrix</t>
  </si>
  <si>
    <t>2x3 multiplied by 3x2 matrix</t>
  </si>
  <si>
    <t>2x3 multiplied by 3x3 matrix</t>
  </si>
  <si>
    <t>3x1 multiplied by 1x2 matrix</t>
  </si>
  <si>
    <t>3x1 multiplied by 1x3 matrix</t>
  </si>
  <si>
    <t>3x2 multiplied by 2x1 matrix</t>
  </si>
  <si>
    <t>3x2 multiplied by 2x2 matrix</t>
  </si>
  <si>
    <t>3x2 multiplied by 2x3 matrix</t>
  </si>
  <si>
    <t>3x3 multiplied by 3x1 matrix</t>
  </si>
  <si>
    <t>3x3 multiplied by 3x2 matrix</t>
  </si>
  <si>
    <t>3x3 multiplied by 3x3 matrix</t>
  </si>
  <si>
    <t>Multiplication of 1x2 Matrix by 2x1 Matrix</t>
  </si>
  <si>
    <t>2x1 multiplied by 1x2 matrix</t>
  </si>
  <si>
    <t>2x1 multiplied by 1x3 matrix</t>
  </si>
  <si>
    <t>Multiplication of 1x2 Matrix by 2x2 Matrix</t>
  </si>
  <si>
    <t>Multiplication of 1x2 Matrix by 2x3 Matrix</t>
  </si>
  <si>
    <t>Multiplication of 1x3 Matrix by 3x1 Matrix</t>
  </si>
  <si>
    <t>Multiplication of 1x3 Matrix by 3x2 Matrix</t>
  </si>
  <si>
    <t>Multiplication of 1x3 Matrix by 3x3 Matrix</t>
  </si>
  <si>
    <t>Multiplication of 2x1 Matrix by 1x2 Matrix</t>
  </si>
  <si>
    <t>Multiplication of 2x1 Matrix by 1x3 Matrix</t>
  </si>
  <si>
    <t>Multiplication of 2x2 Matrix by 2x1 Matrix</t>
  </si>
  <si>
    <t>Multiplication of 2x2 Matrix by 2x3 Matrix</t>
  </si>
  <si>
    <t>Multiplication of 2x3 Matrix by 3x1 Matrix</t>
  </si>
  <si>
    <t>Multiplication of 2x3 Matrix by 3x3 Matrix</t>
  </si>
  <si>
    <t>Multiplication of 3x1 Matrix by 1x3 Matrix</t>
  </si>
  <si>
    <t>Multiplication of 3x1 Matrix by 1x2 Matrix</t>
  </si>
  <si>
    <t>Multiplication of 3x2 Matrix by 2x1 Matrix</t>
  </si>
  <si>
    <t>Multiplication of 3x2 Matrix by 2x2 Matrix</t>
  </si>
  <si>
    <t>Multiplication of 3x2 Matrix by 2x3 Matrix</t>
  </si>
  <si>
    <t>Multiplication of 3x3 Matrix by 3x1 Matrix</t>
  </si>
  <si>
    <t>Multiplication of 3x3 Matrix by 3x2 Matrix</t>
  </si>
  <si>
    <t>Matrix Multiplication TOC</t>
  </si>
  <si>
    <t>Go to Main Page</t>
  </si>
  <si>
    <t>Click Below to Open</t>
  </si>
  <si>
    <t>Matrix Addition and Subtraction</t>
  </si>
  <si>
    <t>Addition of 2x2 Matrix</t>
  </si>
  <si>
    <r>
      <rPr>
        <b/>
        <sz val="11"/>
        <color rgb="FF00B050"/>
        <rFont val="Times New Roman"/>
        <family val="1"/>
      </rPr>
      <t>Rule for Matrix Addition:</t>
    </r>
    <r>
      <rPr>
        <sz val="11"/>
        <color theme="1"/>
        <rFont val="Times New Roman"/>
        <family val="1"/>
      </rPr>
      <t xml:space="preserve"> They must have the same dimensions, which means they must have the same number of rows and the same number of columns.</t>
    </r>
  </si>
  <si>
    <t>+</t>
  </si>
  <si>
    <t>Subtraction of 2x2 Matrix</t>
  </si>
  <si>
    <r>
      <rPr>
        <b/>
        <sz val="11"/>
        <color rgb="FF00B050"/>
        <rFont val="Times New Roman"/>
        <family val="1"/>
      </rPr>
      <t>Rule for Matrix Subtraction:</t>
    </r>
    <r>
      <rPr>
        <sz val="11"/>
        <color theme="1"/>
        <rFont val="Times New Roman"/>
        <family val="1"/>
      </rPr>
      <t xml:space="preserve"> They must have the same dimensions, which means they must have the same number of rows and the same number of columns.</t>
    </r>
  </si>
  <si>
    <t>−</t>
  </si>
  <si>
    <t>Addition of 3x3 Matrix</t>
  </si>
  <si>
    <t>Subtraction of 3x3 Matrix</t>
  </si>
  <si>
    <t>Matrix Transpose</t>
  </si>
  <si>
    <t>Transpose of 2x2 Matrix</t>
  </si>
  <si>
    <t>Enter Name of Matrix</t>
  </si>
  <si>
    <r>
      <rPr>
        <b/>
        <sz val="11"/>
        <color rgb="FF00B050"/>
        <rFont val="Times New Roman"/>
        <family val="1"/>
      </rPr>
      <t>Rule for Transpose:</t>
    </r>
    <r>
      <rPr>
        <sz val="11"/>
        <color theme="1"/>
        <rFont val="Times New Roman"/>
        <family val="1"/>
      </rPr>
      <t xml:space="preserve"> Change Rows into Columns</t>
    </r>
  </si>
  <si>
    <t>Transpose of 3x3 Matrix</t>
  </si>
  <si>
    <t>Visit and Subscribe our YouTube Channel:</t>
  </si>
  <si>
    <t>Video Link for Addition/Subtraction</t>
  </si>
  <si>
    <t>Video Link for Transpose</t>
  </si>
  <si>
    <t>http://www.youtube.com/@ItisSoftInfo</t>
  </si>
  <si>
    <t>Transpose of 1x2 Matrix</t>
  </si>
  <si>
    <t>Transpose of 1x3 Matrix</t>
  </si>
  <si>
    <t>Transpose of 2x1 Matrix</t>
  </si>
  <si>
    <t>Transpose of 2x3 Matrix</t>
  </si>
  <si>
    <t>Transpose of 3x1 Matrix</t>
  </si>
  <si>
    <t>Transpose of 3x2 Matrix</t>
  </si>
  <si>
    <t>Video Link for Multiplication</t>
  </si>
  <si>
    <t>C</t>
  </si>
  <si>
    <t>D</t>
  </si>
  <si>
    <t>F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</si>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</sst>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24"/>
      <color theme="1"/>
      <name val="Times New Roman"/>
      <family val="1"/>
    </font>
    <font>
      <sz val="26"/>
      <color theme="1"/>
      <name val="Times New Roman"/>
      <family val="1"/>
    </font>
    <font>
      <sz val="24"/>
      <color theme="1"/>
      <name val="Courier New"/>
      <family val="3"/>
    </font>
    <font>
      <sz val="26"/>
      <color theme="1"/>
      <name val="Courier New"/>
      <family val="3"/>
    </font>
    <font>
      <b/>
      <sz val="12"/>
      <color rgb="FFFF0000"/>
      <name val="Times New Roman"/>
      <family val="1"/>
    </font>
    <font>
      <b/>
      <sz val="12"/>
      <color rgb="FF00B050"/>
      <name val="Times New Roman"/>
      <family val="1"/>
    </font>
    <font>
      <b/>
      <sz val="12"/>
      <color rgb="FF0070C0"/>
      <name val="Times New Roman"/>
      <family val="1"/>
    </font>
    <font>
      <b/>
      <sz val="12"/>
      <color rgb="FFFFC000"/>
      <name val="Times New Roman"/>
      <family val="1"/>
    </font>
    <font>
      <sz val="11"/>
      <color theme="1"/>
      <name val="Times New Roman"/>
      <family val="1"/>
    </font>
    <font>
      <sz val="36"/>
      <color theme="1"/>
      <name val="Courier New"/>
      <family val="3"/>
    </font>
    <font>
      <sz val="48"/>
      <color theme="1"/>
      <name val="Courier New"/>
      <family val="3"/>
    </font>
    <font>
      <b/>
      <sz val="12"/>
      <color rgb="FFC00000"/>
      <name val="Times New Roman"/>
      <family val="1"/>
    </font>
    <font>
      <b/>
      <sz val="12"/>
      <color rgb="FF7030A0"/>
      <name val="Times New Roman"/>
      <family val="1"/>
    </font>
    <font>
      <b/>
      <sz val="12"/>
      <name val="Times New Roman"/>
      <family val="1"/>
    </font>
    <font>
      <b/>
      <sz val="12"/>
      <color rgb="FF92D050"/>
      <name val="Times New Roman"/>
      <family val="1"/>
    </font>
    <font>
      <b/>
      <sz val="12"/>
      <color rgb="FF00B0F0"/>
      <name val="Times New Roman"/>
      <family val="1"/>
    </font>
    <font>
      <b/>
      <sz val="12"/>
      <color rgb="FF002060"/>
      <name val="Times New Roman"/>
      <family val="1"/>
    </font>
    <font>
      <sz val="14"/>
      <color theme="1"/>
      <name val="Courier New"/>
      <family val="3"/>
    </font>
    <font>
      <b/>
      <sz val="14"/>
      <color theme="1"/>
      <name val="Courier New"/>
      <family val="3"/>
    </font>
    <font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u/>
      <sz val="12"/>
      <color rgb="FFFF0000"/>
      <name val="Times New Roman"/>
      <family val="1"/>
    </font>
    <font>
      <b/>
      <sz val="11"/>
      <color rgb="FF00B050"/>
      <name val="Times New Roman"/>
      <family val="1"/>
    </font>
    <font>
      <sz val="12"/>
      <color theme="1"/>
      <name val="Courier New"/>
      <family val="3"/>
    </font>
    <font>
      <b/>
      <sz val="12"/>
      <color rgb="FFAC1099"/>
      <name val="Times New Roman"/>
      <family val="1"/>
    </font>
    <font>
      <b/>
      <sz val="12"/>
      <color rgb="FF63342B"/>
      <name val="Times New Roman"/>
      <family val="1"/>
    </font>
    <font>
      <sz val="12"/>
      <name val="Times New Roman"/>
      <family val="1"/>
    </font>
    <font>
      <vertAlign val="superscript"/>
      <sz val="12"/>
      <color theme="1"/>
      <name val="Times New Roman"/>
      <family val="1"/>
    </font>
    <font>
      <b/>
      <sz val="14"/>
      <color rgb="FF00B050"/>
      <name val="Times New Roman"/>
      <family val="1"/>
    </font>
    <font>
      <b/>
      <sz val="16"/>
      <color rgb="FFFF0000"/>
      <name val="Times New Roman"/>
      <family val="1"/>
    </font>
    <font>
      <b/>
      <u/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u/>
      <sz val="14"/>
      <color rgb="FF00B050"/>
      <name val="Times New Roman"/>
      <family val="1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231">
    <xf numFmtId="0" fontId="0" fillId="0" borderId="0" xfId="0"/>
    <xf numFmtId="0" fontId="0" fillId="0" borderId="0" xfId="0" applyBorder="1" applyProtection="1"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2" fillId="0" borderId="22" xfId="0" applyFont="1" applyBorder="1" applyAlignment="1" applyProtection="1">
      <alignment horizontal="center" vertical="center"/>
      <protection hidden="1"/>
    </xf>
    <xf numFmtId="0" fontId="2" fillId="0" borderId="27" xfId="0" applyFont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0" fontId="1" fillId="0" borderId="27" xfId="1" applyFont="1" applyFill="1" applyBorder="1" applyAlignment="1" applyProtection="1">
      <alignment horizontal="center" vertical="center" wrapText="1"/>
      <protection hidden="1"/>
    </xf>
    <xf numFmtId="0" fontId="2" fillId="0" borderId="37" xfId="0" applyFont="1" applyBorder="1" applyAlignment="1" applyProtection="1">
      <alignment horizontal="center" vertical="center"/>
      <protection hidden="1"/>
    </xf>
    <xf numFmtId="0" fontId="1" fillId="0" borderId="23" xfId="1" applyFont="1" applyFill="1" applyBorder="1" applyAlignment="1" applyProtection="1">
      <alignment horizontal="center" vertical="center" wrapText="1"/>
      <protection hidden="1"/>
    </xf>
    <xf numFmtId="0" fontId="29" fillId="0" borderId="27" xfId="1" applyFont="1" applyFill="1" applyBorder="1" applyAlignment="1" applyProtection="1">
      <alignment horizontal="center" vertical="center" wrapText="1"/>
      <protection hidden="1"/>
    </xf>
    <xf numFmtId="0" fontId="1" fillId="0" borderId="29" xfId="1" applyFont="1" applyFill="1" applyBorder="1" applyAlignment="1" applyProtection="1">
      <alignment horizontal="center" vertical="center" wrapText="1"/>
      <protection hidden="1"/>
    </xf>
    <xf numFmtId="0" fontId="29" fillId="0" borderId="23" xfId="1" applyFont="1" applyFill="1" applyBorder="1" applyAlignment="1" applyProtection="1">
      <alignment horizontal="center" vertical="center" wrapText="1"/>
      <protection hidden="1"/>
    </xf>
    <xf numFmtId="0" fontId="29" fillId="0" borderId="30" xfId="1" applyFont="1" applyFill="1" applyBorder="1" applyAlignment="1" applyProtection="1">
      <alignment horizontal="center" vertical="center" wrapText="1"/>
      <protection hidden="1"/>
    </xf>
    <xf numFmtId="0" fontId="29" fillId="0" borderId="29" xfId="1" applyFont="1" applyFill="1" applyBorder="1" applyAlignment="1" applyProtection="1">
      <alignment horizontal="center" vertical="center" wrapText="1"/>
      <protection hidden="1"/>
    </xf>
    <xf numFmtId="0" fontId="1" fillId="0" borderId="28" xfId="1" applyFont="1" applyFill="1" applyBorder="1" applyAlignment="1" applyProtection="1">
      <alignment horizontal="center" vertical="center" wrapText="1"/>
      <protection hidden="1"/>
    </xf>
    <xf numFmtId="0" fontId="1" fillId="0" borderId="30" xfId="1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12" xfId="0" applyFont="1" applyBorder="1" applyAlignment="1" applyProtection="1">
      <alignment horizontal="center" vertical="center"/>
      <protection hidden="1"/>
    </xf>
    <xf numFmtId="0" fontId="24" fillId="0" borderId="0" xfId="1" applyFont="1" applyBorder="1" applyAlignment="1" applyProtection="1">
      <alignment horizontal="center" vertical="center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  <xf numFmtId="0" fontId="1" fillId="0" borderId="14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9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wrapText="1"/>
      <protection hidden="1"/>
    </xf>
    <xf numFmtId="0" fontId="1" fillId="0" borderId="17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 wrapText="1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 wrapText="1"/>
      <protection hidden="1"/>
    </xf>
    <xf numFmtId="0" fontId="1" fillId="0" borderId="18" xfId="0" applyFont="1" applyBorder="1" applyAlignment="1" applyProtection="1">
      <alignment horizontal="center" vertical="center"/>
      <protection hidden="1"/>
    </xf>
    <xf numFmtId="0" fontId="1" fillId="0" borderId="15" xfId="0" applyFont="1" applyBorder="1" applyAlignment="1" applyProtection="1">
      <alignment horizontal="center" vertical="center"/>
      <protection locked="0" hidden="1"/>
    </xf>
    <xf numFmtId="0" fontId="1" fillId="0" borderId="16" xfId="0" applyFont="1" applyBorder="1" applyAlignment="1" applyProtection="1">
      <alignment horizontal="center" vertical="center"/>
      <protection locked="0" hidden="1"/>
    </xf>
    <xf numFmtId="0" fontId="16" fillId="0" borderId="0" xfId="0" applyFont="1" applyBorder="1" applyAlignment="1" applyProtection="1">
      <alignment horizontal="center" vertical="center"/>
      <protection locked="0"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1" fillId="0" borderId="9" xfId="0" applyFont="1" applyBorder="1" applyProtection="1">
      <protection hidden="1"/>
    </xf>
    <xf numFmtId="0" fontId="1" fillId="0" borderId="11" xfId="0" applyFont="1" applyBorder="1" applyAlignment="1" applyProtection="1">
      <alignment horizontal="center"/>
      <protection hidden="1"/>
    </xf>
    <xf numFmtId="0" fontId="1" fillId="0" borderId="11" xfId="0" applyFont="1" applyBorder="1" applyProtection="1">
      <protection hidden="1"/>
    </xf>
    <xf numFmtId="0" fontId="1" fillId="0" borderId="14" xfId="0" applyFont="1" applyBorder="1" applyProtection="1">
      <protection hidden="1"/>
    </xf>
    <xf numFmtId="0" fontId="1" fillId="0" borderId="17" xfId="0" applyFont="1" applyBorder="1" applyProtection="1">
      <protection hidden="1"/>
    </xf>
    <xf numFmtId="0" fontId="1" fillId="0" borderId="14" xfId="0" applyFont="1" applyBorder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Border="1" applyProtection="1">
      <protection hidden="1"/>
    </xf>
    <xf numFmtId="0" fontId="16" fillId="0" borderId="0" xfId="0" applyFont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vertical="center"/>
      <protection hidden="1"/>
    </xf>
    <xf numFmtId="0" fontId="3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18" xfId="0" applyFont="1" applyBorder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21" fillId="0" borderId="0" xfId="0" applyFont="1" applyBorder="1" applyAlignment="1" applyProtection="1">
      <alignment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1" fillId="0" borderId="12" xfId="0" applyFont="1" applyBorder="1" applyProtection="1"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0" fillId="0" borderId="0" xfId="0" applyFont="1" applyBorder="1" applyAlignment="1" applyProtection="1">
      <alignment horizontal="center" vertical="center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0" xfId="0" applyFont="1" applyBorder="1" applyAlignment="1" applyProtection="1">
      <protection hidden="1"/>
    </xf>
    <xf numFmtId="0" fontId="8" fillId="0" borderId="0" xfId="0" applyFont="1" applyBorder="1" applyAlignment="1" applyProtection="1">
      <protection hidden="1"/>
    </xf>
    <xf numFmtId="0" fontId="15" fillId="0" borderId="0" xfId="0" applyFont="1" applyBorder="1" applyAlignment="1" applyProtection="1">
      <protection hidden="1"/>
    </xf>
    <xf numFmtId="0" fontId="14" fillId="0" borderId="0" xfId="0" applyFont="1" applyBorder="1" applyAlignment="1" applyProtection="1">
      <protection hidden="1"/>
    </xf>
    <xf numFmtId="0" fontId="9" fillId="0" borderId="0" xfId="0" applyFont="1" applyBorder="1" applyAlignment="1" applyProtection="1">
      <protection hidden="1"/>
    </xf>
    <xf numFmtId="0" fontId="18" fillId="0" borderId="0" xfId="0" applyFont="1" applyBorder="1" applyAlignment="1" applyProtection="1">
      <protection hidden="1"/>
    </xf>
    <xf numFmtId="0" fontId="19" fillId="0" borderId="0" xfId="0" applyFont="1" applyBorder="1" applyAlignment="1" applyProtection="1"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 applyProtection="1">
      <protection hidden="1"/>
    </xf>
    <xf numFmtId="0" fontId="2" fillId="0" borderId="32" xfId="0" applyFont="1" applyBorder="1" applyAlignment="1" applyProtection="1">
      <alignment horizontal="center" vertical="center"/>
      <protection hidden="1"/>
    </xf>
    <xf numFmtId="0" fontId="2" fillId="0" borderId="33" xfId="0" applyFont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1" fillId="0" borderId="31" xfId="0" applyFont="1" applyBorder="1" applyAlignment="1" applyProtection="1">
      <alignment horizontal="center" vertical="center"/>
      <protection hidden="1"/>
    </xf>
    <xf numFmtId="0" fontId="2" fillId="0" borderId="34" xfId="0" applyFont="1" applyBorder="1" applyAlignment="1" applyProtection="1">
      <alignment horizontal="center" vertical="center"/>
      <protection hidden="1"/>
    </xf>
    <xf numFmtId="0" fontId="2" fillId="0" borderId="35" xfId="0" applyFont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2" fillId="0" borderId="38" xfId="0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4" fillId="0" borderId="14" xfId="0" applyFont="1" applyBorder="1" applyAlignment="1" applyProtection="1">
      <protection hidden="1"/>
    </xf>
    <xf numFmtId="0" fontId="9" fillId="0" borderId="14" xfId="0" applyFont="1" applyBorder="1" applyAlignment="1" applyProtection="1">
      <protection hidden="1"/>
    </xf>
    <xf numFmtId="0" fontId="19" fillId="0" borderId="14" xfId="0" applyFont="1" applyBorder="1" applyAlignment="1" applyProtection="1">
      <protection hidden="1"/>
    </xf>
    <xf numFmtId="0" fontId="2" fillId="0" borderId="15" xfId="0" applyFont="1" applyBorder="1" applyAlignment="1" applyProtection="1">
      <alignment horizontal="center" vertical="center"/>
      <protection locked="0" hidden="1"/>
    </xf>
    <xf numFmtId="0" fontId="2" fillId="0" borderId="16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8" fillId="0" borderId="0" xfId="0" applyFont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horizontal="center" vertical="center"/>
      <protection locked="0" hidden="1"/>
    </xf>
    <xf numFmtId="0" fontId="14" fillId="0" borderId="0" xfId="0" applyFont="1" applyAlignment="1" applyProtection="1">
      <alignment horizontal="center" vertical="center"/>
      <protection locked="0" hidden="1"/>
    </xf>
    <xf numFmtId="0" fontId="15" fillId="0" borderId="0" xfId="0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0" fontId="27" fillId="0" borderId="0" xfId="0" applyFont="1" applyAlignment="1" applyProtection="1">
      <alignment horizontal="center" vertical="center"/>
      <protection locked="0" hidden="1"/>
    </xf>
    <xf numFmtId="0" fontId="28" fillId="0" borderId="0" xfId="0" applyFont="1" applyAlignment="1" applyProtection="1">
      <alignment horizontal="center" vertical="center"/>
      <protection locked="0"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33" fillId="0" borderId="0" xfId="1" applyFont="1" applyBorder="1" applyAlignment="1" applyProtection="1">
      <alignment horizontal="left" vertical="center"/>
      <protection hidden="1"/>
    </xf>
    <xf numFmtId="0" fontId="34" fillId="0" borderId="0" xfId="0" applyFont="1" applyBorder="1" applyAlignment="1" applyProtection="1">
      <alignment horizontal="left" vertical="center"/>
      <protection hidden="1"/>
    </xf>
    <xf numFmtId="0" fontId="32" fillId="0" borderId="0" xfId="0" applyFont="1" applyBorder="1" applyAlignment="1" applyProtection="1">
      <alignment vertical="center"/>
      <protection hidden="1"/>
    </xf>
    <xf numFmtId="0" fontId="2" fillId="0" borderId="23" xfId="0" applyFont="1" applyBorder="1" applyAlignment="1" applyProtection="1">
      <alignment horizontal="center" vertical="center"/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29" fillId="0" borderId="28" xfId="1" applyFont="1" applyFill="1" applyBorder="1" applyAlignment="1" applyProtection="1">
      <alignment horizontal="center" vertical="center" wrapText="1"/>
      <protection hidden="1"/>
    </xf>
    <xf numFmtId="0" fontId="29" fillId="0" borderId="39" xfId="1" applyFont="1" applyBorder="1" applyAlignment="1" applyProtection="1">
      <alignment horizontal="center" vertical="center"/>
      <protection hidden="1"/>
    </xf>
    <xf numFmtId="0" fontId="29" fillId="0" borderId="28" xfId="1" applyFont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right" vertical="center"/>
      <protection hidden="1"/>
    </xf>
    <xf numFmtId="0" fontId="32" fillId="0" borderId="0" xfId="1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right" vertical="center"/>
      <protection hidden="1"/>
    </xf>
    <xf numFmtId="0" fontId="35" fillId="0" borderId="0" xfId="1" applyFont="1" applyBorder="1" applyAlignment="1" applyProtection="1">
      <alignment horizontal="left" vertical="center"/>
      <protection hidden="1"/>
    </xf>
    <xf numFmtId="0" fontId="32" fillId="0" borderId="0" xfId="1" applyFont="1" applyBorder="1" applyAlignment="1" applyProtection="1">
      <alignment horizontal="center" vertical="center"/>
      <protection hidden="1"/>
    </xf>
    <xf numFmtId="0" fontId="31" fillId="0" borderId="12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2" fillId="0" borderId="31" xfId="0" applyFont="1" applyBorder="1" applyAlignment="1" applyProtection="1">
      <alignment horizontal="center" vertical="center"/>
      <protection hidden="1"/>
    </xf>
    <xf numFmtId="0" fontId="11" fillId="0" borderId="13" xfId="0" applyFont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2" fillId="0" borderId="5" xfId="0" applyFont="1" applyBorder="1" applyAlignment="1" applyProtection="1">
      <alignment horizontal="center"/>
      <protection hidden="1"/>
    </xf>
    <xf numFmtId="0" fontId="11" fillId="0" borderId="2" xfId="0" applyFont="1" applyBorder="1" applyAlignment="1" applyProtection="1">
      <alignment horizontal="center" vertical="center" wrapText="1"/>
      <protection hidden="1"/>
    </xf>
    <xf numFmtId="0" fontId="11" fillId="0" borderId="3" xfId="0" applyFont="1" applyBorder="1" applyAlignment="1" applyProtection="1">
      <alignment horizontal="center" vertical="center" wrapText="1"/>
      <protection hidden="1"/>
    </xf>
    <xf numFmtId="0" fontId="11" fillId="0" borderId="4" xfId="0" applyFont="1" applyBorder="1" applyAlignment="1" applyProtection="1">
      <alignment horizontal="center" vertical="center" wrapText="1"/>
      <protection hidden="1"/>
    </xf>
    <xf numFmtId="0" fontId="11" fillId="0" borderId="6" xfId="0" applyFont="1" applyBorder="1" applyAlignment="1" applyProtection="1">
      <alignment horizontal="center" vertical="center" wrapText="1"/>
      <protection hidden="1"/>
    </xf>
    <xf numFmtId="0" fontId="11" fillId="0" borderId="7" xfId="0" applyFont="1" applyBorder="1" applyAlignment="1" applyProtection="1">
      <alignment horizontal="center" vertical="center" wrapText="1"/>
      <protection hidden="1"/>
    </xf>
    <xf numFmtId="0" fontId="11" fillId="0" borderId="8" xfId="0" applyFont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12" fillId="0" borderId="0" xfId="0" applyFont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1" fillId="0" borderId="26" xfId="0" applyFont="1" applyBorder="1" applyAlignment="1" applyProtection="1">
      <alignment horizontal="center" vertical="center" wrapText="1"/>
      <protection hidden="1"/>
    </xf>
    <xf numFmtId="0" fontId="11" fillId="0" borderId="0" xfId="0" applyFont="1" applyBorder="1" applyAlignment="1" applyProtection="1">
      <alignment horizontal="center" vertical="center" wrapText="1"/>
      <protection hidden="1"/>
    </xf>
    <xf numFmtId="0" fontId="11" fillId="0" borderId="5" xfId="0" applyFont="1" applyBorder="1" applyAlignment="1" applyProtection="1">
      <alignment horizontal="center" vertical="center" wrapText="1"/>
      <protection hidden="1"/>
    </xf>
    <xf numFmtId="0" fontId="13" fillId="0" borderId="5" xfId="0" applyFont="1" applyBorder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 vertical="center" wrapText="1"/>
      <protection hidden="1"/>
    </xf>
    <xf numFmtId="0" fontId="12" fillId="0" borderId="0" xfId="0" applyFont="1" applyAlignment="1" applyProtection="1">
      <alignment horizontal="center" vertical="top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 wrapText="1"/>
      <protection hidden="1"/>
    </xf>
    <xf numFmtId="0" fontId="1" fillId="0" borderId="2" xfId="0" applyFont="1" applyBorder="1" applyAlignment="1" applyProtection="1">
      <alignment horizontal="center" vertical="center" wrapText="1"/>
      <protection hidden="1"/>
    </xf>
    <xf numFmtId="0" fontId="1" fillId="0" borderId="3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 vertical="center" wrapText="1"/>
      <protection hidden="1"/>
    </xf>
    <xf numFmtId="0" fontId="1" fillId="0" borderId="6" xfId="0" applyFont="1" applyBorder="1" applyAlignment="1" applyProtection="1">
      <alignment horizontal="center" vertical="center" wrapText="1"/>
      <protection hidden="1"/>
    </xf>
    <xf numFmtId="0" fontId="1" fillId="0" borderId="7" xfId="0" applyFont="1" applyBorder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2" fillId="0" borderId="12" xfId="0" applyFont="1" applyBorder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11" fillId="0" borderId="17" xfId="0" applyFont="1" applyBorder="1" applyAlignment="1" applyProtection="1">
      <alignment horizontal="center" vertical="center" wrapText="1"/>
      <protection hidden="1"/>
    </xf>
    <xf numFmtId="0" fontId="11" fillId="0" borderId="9" xfId="0" applyFont="1" applyBorder="1" applyAlignment="1" applyProtection="1">
      <alignment horizontal="center" vertical="center" wrapText="1"/>
      <protection hidden="1"/>
    </xf>
    <xf numFmtId="0" fontId="11" fillId="0" borderId="18" xfId="0" applyFont="1" applyBorder="1" applyAlignment="1" applyProtection="1">
      <alignment horizontal="center" vertical="center" wrapText="1"/>
      <protection hidden="1"/>
    </xf>
    <xf numFmtId="0" fontId="11" fillId="0" borderId="20" xfId="0" applyFont="1" applyBorder="1" applyAlignment="1" applyProtection="1">
      <alignment horizontal="center" vertical="center" wrapText="1"/>
      <protection hidden="1"/>
    </xf>
    <xf numFmtId="0" fontId="11" fillId="0" borderId="36" xfId="0" applyFont="1" applyBorder="1" applyAlignment="1" applyProtection="1">
      <alignment horizontal="center" vertical="center" wrapText="1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22" fillId="0" borderId="2" xfId="0" applyFont="1" applyBorder="1" applyAlignment="1" applyProtection="1">
      <alignment horizontal="center" vertical="center" wrapText="1"/>
      <protection hidden="1"/>
    </xf>
    <xf numFmtId="0" fontId="22" fillId="0" borderId="3" xfId="0" applyFont="1" applyBorder="1" applyAlignment="1" applyProtection="1">
      <alignment horizontal="center" vertical="center" wrapText="1"/>
      <protection hidden="1"/>
    </xf>
    <xf numFmtId="0" fontId="22" fillId="0" borderId="4" xfId="0" applyFont="1" applyBorder="1" applyAlignment="1" applyProtection="1">
      <alignment horizontal="center" vertical="center" wrapText="1"/>
      <protection hidden="1"/>
    </xf>
    <xf numFmtId="0" fontId="22" fillId="0" borderId="6" xfId="0" applyFont="1" applyBorder="1" applyAlignment="1" applyProtection="1">
      <alignment horizontal="center" vertical="center" wrapText="1"/>
      <protection hidden="1"/>
    </xf>
    <xf numFmtId="0" fontId="22" fillId="0" borderId="7" xfId="0" applyFont="1" applyBorder="1" applyAlignment="1" applyProtection="1">
      <alignment horizontal="center" vertical="center" wrapText="1"/>
      <protection hidden="1"/>
    </xf>
    <xf numFmtId="0" fontId="22" fillId="0" borderId="8" xfId="0" applyFont="1" applyBorder="1" applyAlignment="1" applyProtection="1">
      <alignment horizontal="center" vertical="center" wrapText="1"/>
      <protection hidden="1"/>
    </xf>
    <xf numFmtId="0" fontId="12" fillId="0" borderId="0" xfId="0" applyFont="1" applyBorder="1" applyAlignment="1" applyProtection="1">
      <alignment horizontal="center" vertical="center"/>
      <protection hidden="1"/>
    </xf>
    <xf numFmtId="0" fontId="12" fillId="0" borderId="5" xfId="0" applyFont="1" applyBorder="1" applyAlignment="1" applyProtection="1">
      <alignment horizontal="center" vertical="center"/>
      <protection hidden="1"/>
    </xf>
    <xf numFmtId="0" fontId="22" fillId="0" borderId="24" xfId="0" applyFont="1" applyBorder="1" applyAlignment="1" applyProtection="1">
      <alignment horizontal="center" vertical="center" wrapText="1"/>
      <protection hidden="1"/>
    </xf>
    <xf numFmtId="0" fontId="22" fillId="0" borderId="25" xfId="0" applyFont="1" applyBorder="1" applyAlignment="1" applyProtection="1">
      <alignment horizontal="center" vertical="center" wrapText="1"/>
      <protection hidden="1"/>
    </xf>
    <xf numFmtId="0" fontId="22" fillId="0" borderId="21" xfId="0" applyFont="1" applyBorder="1" applyAlignment="1" applyProtection="1">
      <alignment horizontal="center" vertical="center" wrapText="1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/>
      <protection locked="0"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14" fillId="0" borderId="0" xfId="0" applyFont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alignment horizontal="center" vertical="center"/>
      <protection hidden="1"/>
    </xf>
    <xf numFmtId="0" fontId="11" fillId="0" borderId="12" xfId="0" applyFont="1" applyBorder="1" applyAlignment="1" applyProtection="1">
      <alignment horizontal="center" vertical="center" wrapText="1"/>
      <protection hidden="1"/>
    </xf>
    <xf numFmtId="0" fontId="11" fillId="0" borderId="14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/>
      <protection hidden="1"/>
    </xf>
    <xf numFmtId="0" fontId="14" fillId="0" borderId="0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 vertical="center"/>
      <protection hidden="1"/>
    </xf>
    <xf numFmtId="0" fontId="15" fillId="0" borderId="0" xfId="0" applyFont="1" applyBorder="1" applyAlignment="1" applyProtection="1">
      <alignment horizontal="center"/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2" fillId="0" borderId="11" xfId="0" applyFont="1" applyBorder="1" applyAlignment="1" applyProtection="1">
      <alignment horizontal="center"/>
      <protection hidden="1"/>
    </xf>
    <xf numFmtId="0" fontId="2" fillId="0" borderId="31" xfId="0" applyFont="1" applyBorder="1" applyAlignment="1" applyProtection="1">
      <alignment horizontal="center"/>
      <protection hidden="1"/>
    </xf>
    <xf numFmtId="0" fontId="13" fillId="0" borderId="0" xfId="0" applyFont="1" applyBorder="1" applyAlignment="1" applyProtection="1">
      <alignment horizontal="center"/>
      <protection hidden="1"/>
    </xf>
    <xf numFmtId="0" fontId="1" fillId="0" borderId="26" xfId="0" applyFont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 wrapText="1"/>
      <protection hidden="1"/>
    </xf>
    <xf numFmtId="0" fontId="1" fillId="0" borderId="5" xfId="0" applyFont="1" applyBorder="1" applyAlignment="1" applyProtection="1">
      <alignment horizontal="center" vertical="center" wrapText="1"/>
      <protection hidden="1"/>
    </xf>
    <xf numFmtId="0" fontId="9" fillId="0" borderId="0" xfId="0" applyFont="1" applyBorder="1" applyAlignment="1" applyProtection="1">
      <alignment horizontal="center" vertical="center"/>
      <protection hidden="1"/>
    </xf>
    <xf numFmtId="0" fontId="19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 wrapText="1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22" fillId="0" borderId="26" xfId="0" applyFont="1" applyBorder="1" applyAlignment="1" applyProtection="1">
      <alignment horizontal="center" vertical="center" wrapText="1"/>
      <protection hidden="1"/>
    </xf>
    <xf numFmtId="0" fontId="22" fillId="0" borderId="0" xfId="0" applyFont="1" applyBorder="1" applyAlignment="1" applyProtection="1">
      <alignment horizontal="center" vertical="center" wrapText="1"/>
      <protection hidden="1"/>
    </xf>
    <xf numFmtId="0" fontId="22" fillId="0" borderId="5" xfId="0" applyFont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7471"/>
      <color rgb="FF63342B"/>
      <color rgb="FFAC1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A432E364-1A7C-4222-BA9C-F7A042A8C5E2}"/>
            </a:ext>
          </a:extLst>
        </xdr:cNvPr>
        <xdr:cNvSpPr txBox="1"/>
      </xdr:nvSpPr>
      <xdr:spPr>
        <a:xfrm>
          <a:off x="2995612" y="671512"/>
          <a:ext cx="4089796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32657</xdr:colOff>
      <xdr:row>6</xdr:row>
      <xdr:rowOff>158524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27821E8-569F-4073-B713-26B3AD65D431}"/>
                </a:ext>
              </a:extLst>
            </xdr:cNvPr>
            <xdr:cNvSpPr txBox="1"/>
          </xdr:nvSpPr>
          <xdr:spPr>
            <a:xfrm>
              <a:off x="4475389" y="1648506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27821E8-569F-4073-B713-26B3AD65D431}"/>
                </a:ext>
              </a:extLst>
            </xdr:cNvPr>
            <xdr:cNvSpPr txBox="1"/>
          </xdr:nvSpPr>
          <xdr:spPr>
            <a:xfrm>
              <a:off x="4475389" y="1648506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40821</xdr:colOff>
      <xdr:row>9</xdr:row>
      <xdr:rowOff>47625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7C60BF6-A704-473B-B54B-0B4E55FB3238}"/>
                </a:ext>
              </a:extLst>
            </xdr:cNvPr>
            <xdr:cNvSpPr txBox="1"/>
          </xdr:nvSpPr>
          <xdr:spPr>
            <a:xfrm>
              <a:off x="4483553" y="217033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7C60BF6-A704-473B-B54B-0B4E55FB3238}"/>
                </a:ext>
              </a:extLst>
            </xdr:cNvPr>
            <xdr:cNvSpPr txBox="1"/>
          </xdr:nvSpPr>
          <xdr:spPr>
            <a:xfrm>
              <a:off x="4483553" y="217033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E0B9EE59-FFBC-4453-9F0C-7505427F8352}"/>
            </a:ext>
          </a:extLst>
        </xdr:cNvPr>
        <xdr:cNvSpPr txBox="1"/>
      </xdr:nvSpPr>
      <xdr:spPr>
        <a:xfrm>
          <a:off x="2995612" y="671512"/>
          <a:ext cx="4089796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8E5E4758-A6E2-4BE0-ABFC-FF389422759D}"/>
            </a:ext>
          </a:extLst>
        </xdr:cNvPr>
        <xdr:cNvSpPr txBox="1"/>
      </xdr:nvSpPr>
      <xdr:spPr>
        <a:xfrm>
          <a:off x="3917155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122965</xdr:colOff>
      <xdr:row>7</xdr:row>
      <xdr:rowOff>57979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6999B23-1248-427A-9D41-C8AB9F9B49DF}"/>
                </a:ext>
              </a:extLst>
            </xdr:cNvPr>
            <xdr:cNvSpPr txBox="1"/>
          </xdr:nvSpPr>
          <xdr:spPr>
            <a:xfrm>
              <a:off x="5193196" y="177247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6999B23-1248-427A-9D41-C8AB9F9B49DF}"/>
                </a:ext>
              </a:extLst>
            </xdr:cNvPr>
            <xdr:cNvSpPr txBox="1"/>
          </xdr:nvSpPr>
          <xdr:spPr>
            <a:xfrm>
              <a:off x="5193196" y="1772479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144945</xdr:colOff>
      <xdr:row>10</xdr:row>
      <xdr:rowOff>49696</xdr:rowOff>
    </xdr:from>
    <xdr:ext cx="402771" cy="3006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29652E-D262-45EC-8BB3-2F7B8AF64BA9}"/>
                </a:ext>
              </a:extLst>
            </xdr:cNvPr>
            <xdr:cNvSpPr txBox="1"/>
          </xdr:nvSpPr>
          <xdr:spPr>
            <a:xfrm>
              <a:off x="5215176" y="2401638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829652E-D262-45EC-8BB3-2F7B8AF64BA9}"/>
                </a:ext>
              </a:extLst>
            </xdr:cNvPr>
            <xdr:cNvSpPr txBox="1"/>
          </xdr:nvSpPr>
          <xdr:spPr>
            <a:xfrm>
              <a:off x="5215176" y="2401638"/>
              <a:ext cx="402771" cy="3006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i="0">
                  <a:latin typeface="Cambria Math" panose="02040503050406030204" pitchFamily="18" charset="0"/>
                </a:rPr>
                <a:t>←</a:t>
              </a:r>
              <a:endParaRPr lang="en-US" sz="2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8FC5C60-16CF-4459-84F7-D22CC84B838D}"/>
            </a:ext>
          </a:extLst>
        </xdr:cNvPr>
        <xdr:cNvSpPr txBox="1"/>
      </xdr:nvSpPr>
      <xdr:spPr>
        <a:xfrm>
          <a:off x="3917155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49697</xdr:colOff>
      <xdr:row>6</xdr:row>
      <xdr:rowOff>207063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8945679-817E-4AA7-B24D-FDBF40F8F16A}"/>
                </a:ext>
              </a:extLst>
            </xdr:cNvPr>
            <xdr:cNvSpPr txBox="1"/>
          </xdr:nvSpPr>
          <xdr:spPr>
            <a:xfrm>
              <a:off x="5126936" y="168965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8945679-817E-4AA7-B24D-FDBF40F8F16A}"/>
                </a:ext>
              </a:extLst>
            </xdr:cNvPr>
            <xdr:cNvSpPr txBox="1"/>
          </xdr:nvSpPr>
          <xdr:spPr>
            <a:xfrm>
              <a:off x="5126936" y="168965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49697</xdr:colOff>
      <xdr:row>10</xdr:row>
      <xdr:rowOff>107672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C3465F-484E-4A48-9569-91F0F543D713}"/>
                </a:ext>
              </a:extLst>
            </xdr:cNvPr>
            <xdr:cNvSpPr txBox="1"/>
          </xdr:nvSpPr>
          <xdr:spPr>
            <a:xfrm>
              <a:off x="5126936" y="241852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C3465F-484E-4A48-9569-91F0F543D713}"/>
                </a:ext>
              </a:extLst>
            </xdr:cNvPr>
            <xdr:cNvSpPr txBox="1"/>
          </xdr:nvSpPr>
          <xdr:spPr>
            <a:xfrm>
              <a:off x="5126936" y="2418520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F804EBC0-ABEA-4A76-A30C-C600A4D558A5}"/>
            </a:ext>
          </a:extLst>
        </xdr:cNvPr>
        <xdr:cNvSpPr txBox="1"/>
      </xdr:nvSpPr>
      <xdr:spPr>
        <a:xfrm>
          <a:off x="3917155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41411</xdr:colOff>
      <xdr:row>7</xdr:row>
      <xdr:rowOff>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56E4EC5-689C-4B36-9A03-62ABB74FB321}"/>
                </a:ext>
              </a:extLst>
            </xdr:cNvPr>
            <xdr:cNvSpPr txBox="1"/>
          </xdr:nvSpPr>
          <xdr:spPr>
            <a:xfrm>
              <a:off x="4994411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56E4EC5-689C-4B36-9A03-62ABB74FB321}"/>
                </a:ext>
              </a:extLst>
            </xdr:cNvPr>
            <xdr:cNvSpPr txBox="1"/>
          </xdr:nvSpPr>
          <xdr:spPr>
            <a:xfrm>
              <a:off x="4994411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41411</xdr:colOff>
      <xdr:row>10</xdr:row>
      <xdr:rowOff>99393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EB8784-F765-4C65-92A0-644A8C975F57}"/>
                </a:ext>
              </a:extLst>
            </xdr:cNvPr>
            <xdr:cNvSpPr txBox="1"/>
          </xdr:nvSpPr>
          <xdr:spPr>
            <a:xfrm>
              <a:off x="4994411" y="241024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EB8784-F765-4C65-92A0-644A8C975F57}"/>
                </a:ext>
              </a:extLst>
            </xdr:cNvPr>
            <xdr:cNvSpPr txBox="1"/>
          </xdr:nvSpPr>
          <xdr:spPr>
            <a:xfrm>
              <a:off x="4994411" y="241024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566A21D7-0B56-4A3A-8657-38D647F2E314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57979</xdr:colOff>
      <xdr:row>7</xdr:row>
      <xdr:rowOff>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8F6A6E2-7518-4461-ABC4-1FBE8C3A4C42}"/>
                </a:ext>
              </a:extLst>
            </xdr:cNvPr>
            <xdr:cNvSpPr txBox="1"/>
          </xdr:nvSpPr>
          <xdr:spPr>
            <a:xfrm>
              <a:off x="5135218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8F6A6E2-7518-4461-ABC4-1FBE8C3A4C42}"/>
                </a:ext>
              </a:extLst>
            </xdr:cNvPr>
            <xdr:cNvSpPr txBox="1"/>
          </xdr:nvSpPr>
          <xdr:spPr>
            <a:xfrm>
              <a:off x="5135218" y="1689652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57979</xdr:colOff>
      <xdr:row>10</xdr:row>
      <xdr:rowOff>115955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BB6B22F-478B-446A-956A-18FDAC71F555}"/>
                </a:ext>
              </a:extLst>
            </xdr:cNvPr>
            <xdr:cNvSpPr txBox="1"/>
          </xdr:nvSpPr>
          <xdr:spPr>
            <a:xfrm>
              <a:off x="5135218" y="242680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BB6B22F-478B-446A-956A-18FDAC71F555}"/>
                </a:ext>
              </a:extLst>
            </xdr:cNvPr>
            <xdr:cNvSpPr txBox="1"/>
          </xdr:nvSpPr>
          <xdr:spPr>
            <a:xfrm>
              <a:off x="5135218" y="242680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F1C173E-7774-48F5-815F-DDFB2A9092DE}"/>
            </a:ext>
          </a:extLst>
        </xdr:cNvPr>
        <xdr:cNvSpPr txBox="1"/>
      </xdr:nvSpPr>
      <xdr:spPr>
        <a:xfrm>
          <a:off x="2995612" y="671512"/>
          <a:ext cx="4213621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55A1A82C-83E0-4D9A-A3E8-1C0A5CF8D1CD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6</xdr:col>
      <xdr:colOff>24849</xdr:colOff>
      <xdr:row>6</xdr:row>
      <xdr:rowOff>198782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ED444A1-0F68-48E6-A4B3-28F6FE8DFBB2}"/>
                </a:ext>
              </a:extLst>
            </xdr:cNvPr>
            <xdr:cNvSpPr txBox="1"/>
          </xdr:nvSpPr>
          <xdr:spPr>
            <a:xfrm>
              <a:off x="4340088" y="168136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ED444A1-0F68-48E6-A4B3-28F6FE8DFBB2}"/>
                </a:ext>
              </a:extLst>
            </xdr:cNvPr>
            <xdr:cNvSpPr txBox="1"/>
          </xdr:nvSpPr>
          <xdr:spPr>
            <a:xfrm>
              <a:off x="4340088" y="168136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356152</xdr:colOff>
      <xdr:row>9</xdr:row>
      <xdr:rowOff>190498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55544DC-0EB9-4A6D-933F-8EDBACE8DA84}"/>
                </a:ext>
              </a:extLst>
            </xdr:cNvPr>
            <xdr:cNvSpPr txBox="1"/>
          </xdr:nvSpPr>
          <xdr:spPr>
            <a:xfrm>
              <a:off x="5433391" y="229428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55544DC-0EB9-4A6D-933F-8EDBACE8DA84}"/>
                </a:ext>
              </a:extLst>
            </xdr:cNvPr>
            <xdr:cNvSpPr txBox="1"/>
          </xdr:nvSpPr>
          <xdr:spPr>
            <a:xfrm>
              <a:off x="5433391" y="229428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7EFA9AD2-1EBC-4905-800C-AE6F48610D68}"/>
            </a:ext>
          </a:extLst>
        </xdr:cNvPr>
        <xdr:cNvSpPr txBox="1"/>
      </xdr:nvSpPr>
      <xdr:spPr>
        <a:xfrm>
          <a:off x="2995612" y="671512"/>
          <a:ext cx="4213621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</xdr:colOff>
      <xdr:row>3</xdr:row>
      <xdr:rowOff>23812</xdr:rowOff>
    </xdr:from>
    <xdr:to>
      <xdr:col>14</xdr:col>
      <xdr:colOff>160733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E87B988D-70C3-49CA-B25B-282B5494466D}"/>
            </a:ext>
          </a:extLst>
        </xdr:cNvPr>
        <xdr:cNvSpPr txBox="1"/>
      </xdr:nvSpPr>
      <xdr:spPr>
        <a:xfrm>
          <a:off x="2988468" y="672703"/>
          <a:ext cx="3869531" cy="59215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6AFFE7D2-2503-42C0-9437-38EF35959966}"/>
            </a:ext>
          </a:extLst>
        </xdr:cNvPr>
        <xdr:cNvSpPr txBox="1"/>
      </xdr:nvSpPr>
      <xdr:spPr>
        <a:xfrm>
          <a:off x="3905249" y="672703"/>
          <a:ext cx="5107781" cy="59215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66261</xdr:colOff>
      <xdr:row>7</xdr:row>
      <xdr:rowOff>8283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FA156CC-24FB-4217-A130-8C8E4FC31274}"/>
                </a:ext>
              </a:extLst>
            </xdr:cNvPr>
            <xdr:cNvSpPr txBox="1"/>
          </xdr:nvSpPr>
          <xdr:spPr>
            <a:xfrm>
              <a:off x="4895022" y="169793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FA156CC-24FB-4217-A130-8C8E4FC31274}"/>
                </a:ext>
              </a:extLst>
            </xdr:cNvPr>
            <xdr:cNvSpPr txBox="1"/>
          </xdr:nvSpPr>
          <xdr:spPr>
            <a:xfrm>
              <a:off x="4895022" y="169793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49696</xdr:colOff>
      <xdr:row>10</xdr:row>
      <xdr:rowOff>8285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6304B50-31B0-4963-AAFC-2AF4170595A4}"/>
                </a:ext>
              </a:extLst>
            </xdr:cNvPr>
            <xdr:cNvSpPr txBox="1"/>
          </xdr:nvSpPr>
          <xdr:spPr>
            <a:xfrm>
              <a:off x="5126935" y="231913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6304B50-31B0-4963-AAFC-2AF4170595A4}"/>
                </a:ext>
              </a:extLst>
            </xdr:cNvPr>
            <xdr:cNvSpPr txBox="1"/>
          </xdr:nvSpPr>
          <xdr:spPr>
            <a:xfrm>
              <a:off x="5126935" y="231913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53884D52-9EFC-4FF9-98A4-A043957FAD12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6</xdr:row>
      <xdr:rowOff>190500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FE3FF70-D918-4CD3-A217-DE3E251ACC2E}"/>
                </a:ext>
              </a:extLst>
            </xdr:cNvPr>
            <xdr:cNvSpPr txBox="1"/>
          </xdr:nvSpPr>
          <xdr:spPr>
            <a:xfrm>
              <a:off x="5143500" y="1673087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FE3FF70-D918-4CD3-A217-DE3E251ACC2E}"/>
                </a:ext>
              </a:extLst>
            </xdr:cNvPr>
            <xdr:cNvSpPr txBox="1"/>
          </xdr:nvSpPr>
          <xdr:spPr>
            <a:xfrm>
              <a:off x="5143500" y="1673087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33131</xdr:colOff>
      <xdr:row>10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B9838D8-5BB5-4BD7-A01E-771334B5B55A}"/>
                </a:ext>
              </a:extLst>
            </xdr:cNvPr>
            <xdr:cNvSpPr txBox="1"/>
          </xdr:nvSpPr>
          <xdr:spPr>
            <a:xfrm>
              <a:off x="4348370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B9838D8-5BB5-4BD7-A01E-771334B5B55A}"/>
                </a:ext>
              </a:extLst>
            </xdr:cNvPr>
            <xdr:cNvSpPr txBox="1"/>
          </xdr:nvSpPr>
          <xdr:spPr>
            <a:xfrm>
              <a:off x="4348370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62545239-C45F-4836-8A8E-F2B7FA6BD4FD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6</xdr:row>
      <xdr:rowOff>209295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7DFCAE5-AB24-4BFB-AAE9-624373A349F0}"/>
                </a:ext>
              </a:extLst>
            </xdr:cNvPr>
            <xdr:cNvSpPr txBox="1"/>
          </xdr:nvSpPr>
          <xdr:spPr>
            <a:xfrm>
              <a:off x="5224415" y="171131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7DFCAE5-AB24-4BFB-AAE9-624373A349F0}"/>
                </a:ext>
              </a:extLst>
            </xdr:cNvPr>
            <xdr:cNvSpPr txBox="1"/>
          </xdr:nvSpPr>
          <xdr:spPr>
            <a:xfrm>
              <a:off x="5224415" y="171131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33131</xdr:colOff>
      <xdr:row>10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92DC998-0C8D-400A-80E7-F2030B143802}"/>
                </a:ext>
              </a:extLst>
            </xdr:cNvPr>
            <xdr:cNvSpPr txBox="1"/>
          </xdr:nvSpPr>
          <xdr:spPr>
            <a:xfrm>
              <a:off x="4861892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92DC998-0C8D-400A-80E7-F2030B143802}"/>
                </a:ext>
              </a:extLst>
            </xdr:cNvPr>
            <xdr:cNvSpPr txBox="1"/>
          </xdr:nvSpPr>
          <xdr:spPr>
            <a:xfrm>
              <a:off x="4861892" y="2410239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F1BF839-3434-4F59-95F6-AA6E56F737E6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6</xdr:row>
      <xdr:rowOff>198777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6B01642-2940-4880-9393-EB46E2618BAF}"/>
                </a:ext>
              </a:extLst>
            </xdr:cNvPr>
            <xdr:cNvSpPr txBox="1"/>
          </xdr:nvSpPr>
          <xdr:spPr>
            <a:xfrm>
              <a:off x="5143500" y="168136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6B01642-2940-4880-9393-EB46E2618BAF}"/>
                </a:ext>
              </a:extLst>
            </xdr:cNvPr>
            <xdr:cNvSpPr txBox="1"/>
          </xdr:nvSpPr>
          <xdr:spPr>
            <a:xfrm>
              <a:off x="5143500" y="168136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66261</xdr:colOff>
      <xdr:row>10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537B5CB-376A-4715-B62B-E4101F5B6D0D}"/>
                </a:ext>
              </a:extLst>
            </xdr:cNvPr>
            <xdr:cNvSpPr txBox="1"/>
          </xdr:nvSpPr>
          <xdr:spPr>
            <a:xfrm>
              <a:off x="5133561" y="26425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537B5CB-376A-4715-B62B-E4101F5B6D0D}"/>
                </a:ext>
              </a:extLst>
            </xdr:cNvPr>
            <xdr:cNvSpPr txBox="1"/>
          </xdr:nvSpPr>
          <xdr:spPr>
            <a:xfrm>
              <a:off x="5133561" y="26425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167203</xdr:colOff>
      <xdr:row>3</xdr:row>
      <xdr:rowOff>23812</xdr:rowOff>
    </xdr:from>
    <xdr:to>
      <xdr:col>14</xdr:col>
      <xdr:colOff>33131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15E3398D-95D3-42C2-8DDC-1757CF2E1EAF}"/>
            </a:ext>
          </a:extLst>
        </xdr:cNvPr>
        <xdr:cNvSpPr txBox="1"/>
      </xdr:nvSpPr>
      <xdr:spPr>
        <a:xfrm>
          <a:off x="3455399" y="661573"/>
          <a:ext cx="3874710" cy="591374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49696</xdr:colOff>
      <xdr:row>10</xdr:row>
      <xdr:rowOff>198783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CAF37B-32BB-4C5A-8972-DD64C88878D7}"/>
                </a:ext>
              </a:extLst>
            </xdr:cNvPr>
            <xdr:cNvSpPr txBox="1"/>
          </xdr:nvSpPr>
          <xdr:spPr>
            <a:xfrm>
              <a:off x="4878457" y="250963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0CAF37B-32BB-4C5A-8972-DD64C88878D7}"/>
                </a:ext>
              </a:extLst>
            </xdr:cNvPr>
            <xdr:cNvSpPr txBox="1"/>
          </xdr:nvSpPr>
          <xdr:spPr>
            <a:xfrm>
              <a:off x="4878457" y="2509631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157370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24063A4-D602-496B-B524-FD92FCEFCE78}"/>
                </a:ext>
              </a:extLst>
            </xdr:cNvPr>
            <xdr:cNvSpPr txBox="1"/>
          </xdr:nvSpPr>
          <xdr:spPr>
            <a:xfrm>
              <a:off x="4462670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24063A4-D602-496B-B524-FD92FCEFCE78}"/>
                </a:ext>
              </a:extLst>
            </xdr:cNvPr>
            <xdr:cNvSpPr txBox="1"/>
          </xdr:nvSpPr>
          <xdr:spPr>
            <a:xfrm>
              <a:off x="4462670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A074979F-ED7F-4F7B-8BC5-5FC81385860D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6</xdr:col>
      <xdr:colOff>157370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074F355-3E38-438E-9458-55CB3C985C93}"/>
                </a:ext>
              </a:extLst>
            </xdr:cNvPr>
            <xdr:cNvSpPr txBox="1"/>
          </xdr:nvSpPr>
          <xdr:spPr>
            <a:xfrm>
              <a:off x="4472609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074F355-3E38-438E-9458-55CB3C985C93}"/>
                </a:ext>
              </a:extLst>
            </xdr:cNvPr>
            <xdr:cNvSpPr txBox="1"/>
          </xdr:nvSpPr>
          <xdr:spPr>
            <a:xfrm>
              <a:off x="4472609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66261</xdr:colOff>
      <xdr:row>10</xdr:row>
      <xdr:rowOff>198777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8A3048A-F891-427A-8F76-CAF034F2E68C}"/>
                </a:ext>
              </a:extLst>
            </xdr:cNvPr>
            <xdr:cNvSpPr txBox="1"/>
          </xdr:nvSpPr>
          <xdr:spPr>
            <a:xfrm>
              <a:off x="5143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8A3048A-F891-427A-8F76-CAF034F2E68C}"/>
                </a:ext>
              </a:extLst>
            </xdr:cNvPr>
            <xdr:cNvSpPr txBox="1"/>
          </xdr:nvSpPr>
          <xdr:spPr>
            <a:xfrm>
              <a:off x="5143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15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721F2394-4AF7-4B17-AA40-E01622315A0C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49695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6A5A6F2-F189-42ED-AA9E-55EACB7FF643}"/>
                </a:ext>
              </a:extLst>
            </xdr:cNvPr>
            <xdr:cNvSpPr txBox="1"/>
          </xdr:nvSpPr>
          <xdr:spPr>
            <a:xfrm>
              <a:off x="4878456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6A5A6F2-F189-42ED-AA9E-55EACB7FF643}"/>
                </a:ext>
              </a:extLst>
            </xdr:cNvPr>
            <xdr:cNvSpPr txBox="1"/>
          </xdr:nvSpPr>
          <xdr:spPr>
            <a:xfrm>
              <a:off x="4878456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66261</xdr:colOff>
      <xdr:row>10</xdr:row>
      <xdr:rowOff>198777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ED14BA8-9254-4B9A-BE1D-CDBBB90329E5}"/>
                </a:ext>
              </a:extLst>
            </xdr:cNvPr>
            <xdr:cNvSpPr txBox="1"/>
          </xdr:nvSpPr>
          <xdr:spPr>
            <a:xfrm>
              <a:off x="4381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ED14BA8-9254-4B9A-BE1D-CDBBB90329E5}"/>
                </a:ext>
              </a:extLst>
            </xdr:cNvPr>
            <xdr:cNvSpPr txBox="1"/>
          </xdr:nvSpPr>
          <xdr:spPr>
            <a:xfrm>
              <a:off x="4381500" y="2509625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15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63C18E1E-D982-4D6C-8D38-4DFFB577EE55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7</xdr:col>
      <xdr:colOff>41414</xdr:colOff>
      <xdr:row>10</xdr:row>
      <xdr:rowOff>190498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107FA23-DBBB-4E2D-82F0-48846211A194}"/>
                </a:ext>
              </a:extLst>
            </xdr:cNvPr>
            <xdr:cNvSpPr txBox="1"/>
          </xdr:nvSpPr>
          <xdr:spPr>
            <a:xfrm>
              <a:off x="4870175" y="250134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107FA23-DBBB-4E2D-82F0-48846211A194}"/>
                </a:ext>
              </a:extLst>
            </xdr:cNvPr>
            <xdr:cNvSpPr txBox="1"/>
          </xdr:nvSpPr>
          <xdr:spPr>
            <a:xfrm>
              <a:off x="4870175" y="250134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49695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52F6927-B64F-4AA8-8F5E-0336E565FD86}"/>
                </a:ext>
              </a:extLst>
            </xdr:cNvPr>
            <xdr:cNvSpPr txBox="1"/>
          </xdr:nvSpPr>
          <xdr:spPr>
            <a:xfrm>
              <a:off x="486934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52F6927-B64F-4AA8-8F5E-0336E565FD86}"/>
                </a:ext>
              </a:extLst>
            </xdr:cNvPr>
            <xdr:cNvSpPr txBox="1"/>
          </xdr:nvSpPr>
          <xdr:spPr>
            <a:xfrm>
              <a:off x="486934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BEDD5B7B-5D85-4BA3-B31E-16D96B881708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149088</xdr:colOff>
      <xdr:row>11</xdr:row>
      <xdr:rowOff>0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03705DD-04F8-4DFA-BB31-347E12A62A5B}"/>
                </a:ext>
              </a:extLst>
            </xdr:cNvPr>
            <xdr:cNvSpPr txBox="1"/>
          </xdr:nvSpPr>
          <xdr:spPr>
            <a:xfrm>
              <a:off x="5226327" y="251791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03705DD-04F8-4DFA-BB31-347E12A62A5B}"/>
                </a:ext>
              </a:extLst>
            </xdr:cNvPr>
            <xdr:cNvSpPr txBox="1"/>
          </xdr:nvSpPr>
          <xdr:spPr>
            <a:xfrm>
              <a:off x="5226327" y="251791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49695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A054E09-2017-410C-8A79-C7BFE8B885F7}"/>
                </a:ext>
              </a:extLst>
            </xdr:cNvPr>
            <xdr:cNvSpPr txBox="1"/>
          </xdr:nvSpPr>
          <xdr:spPr>
            <a:xfrm>
              <a:off x="469789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A054E09-2017-410C-8A79-C7BFE8B885F7}"/>
                </a:ext>
              </a:extLst>
            </xdr:cNvPr>
            <xdr:cNvSpPr txBox="1"/>
          </xdr:nvSpPr>
          <xdr:spPr>
            <a:xfrm>
              <a:off x="4697895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16</xdr:col>
      <xdr:colOff>0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FD10A65B-79C6-48C8-930B-B1FBF7A0B41E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07D5E76-B3E9-495B-98E5-624ED1B9A70E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07D5E76-B3E9-495B-98E5-624ED1B9A70E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66261</xdr:colOff>
      <xdr:row>11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7CAAF9A-2441-4013-91C1-2F99E72CE468}"/>
                </a:ext>
              </a:extLst>
            </xdr:cNvPr>
            <xdr:cNvSpPr txBox="1"/>
          </xdr:nvSpPr>
          <xdr:spPr>
            <a:xfrm>
              <a:off x="4381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7CAAF9A-2441-4013-91C1-2F99E72CE468}"/>
                </a:ext>
              </a:extLst>
            </xdr:cNvPr>
            <xdr:cNvSpPr txBox="1"/>
          </xdr:nvSpPr>
          <xdr:spPr>
            <a:xfrm>
              <a:off x="4381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B808FEE6-584B-45CF-8AB7-6757BD580D7A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6026B4F-3036-431D-B071-A5CAF4685811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6026B4F-3036-431D-B071-A5CAF4685811}"/>
                </a:ext>
              </a:extLst>
            </xdr:cNvPr>
            <xdr:cNvSpPr txBox="1"/>
          </xdr:nvSpPr>
          <xdr:spPr>
            <a:xfrm>
              <a:off x="5133561" y="1804366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74543</xdr:colOff>
      <xdr:row>11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AB17078-10E5-41D6-8D46-27C13F8CDEAF}"/>
                </a:ext>
              </a:extLst>
            </xdr:cNvPr>
            <xdr:cNvSpPr txBox="1"/>
          </xdr:nvSpPr>
          <xdr:spPr>
            <a:xfrm>
              <a:off x="4903304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AB17078-10E5-41D6-8D46-27C13F8CDEAF}"/>
                </a:ext>
              </a:extLst>
            </xdr:cNvPr>
            <xdr:cNvSpPr txBox="1"/>
          </xdr:nvSpPr>
          <xdr:spPr>
            <a:xfrm>
              <a:off x="4903304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250030</xdr:colOff>
      <xdr:row>3</xdr:row>
      <xdr:rowOff>23812</xdr:rowOff>
    </xdr:from>
    <xdr:to>
      <xdr:col>18</xdr:col>
      <xdr:colOff>291702</xdr:colOff>
      <xdr:row>4</xdr:row>
      <xdr:rowOff>300447</xdr:rowOff>
    </xdr:to>
    <xdr:sp macro="" textlink="">
      <xdr:nvSpPr>
        <xdr:cNvPr id="2" name="TextBox 16">
          <a:extLst>
            <a:ext uri="{FF2B5EF4-FFF2-40B4-BE49-F238E27FC236}">
              <a16:creationId xmlns:a16="http://schemas.microsoft.com/office/drawing/2014/main" id="{3561DE74-6A0D-498D-8B01-5CAEA1418B9F}"/>
            </a:ext>
          </a:extLst>
        </xdr:cNvPr>
        <xdr:cNvSpPr txBox="1"/>
      </xdr:nvSpPr>
      <xdr:spPr>
        <a:xfrm>
          <a:off x="4040980" y="671512"/>
          <a:ext cx="5118497" cy="590960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𝐴          .       𝐵       =             𝐴𝐵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</a:t>
          </a:r>
          <a:r>
            <a:rPr lang="en-US" sz="8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           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rows</a:t>
          </a:r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 × </a:t>
          </a:r>
          <a:r>
            <a:rPr lang="en-US" sz="800">
              <a:solidFill>
                <a:srgbClr val="00B05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columns</a:t>
          </a:r>
        </a:p>
        <a:p>
          <a:pPr algn="ctr"/>
          <a:endParaRPr lang="en-US" sz="800">
            <a:solidFill>
              <a:srgbClr val="00B05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800" b="1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Rule for Matrix Multiplication:</a:t>
          </a:r>
          <a:r>
            <a:rPr lang="en-US" sz="800" b="1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800">
              <a:latin typeface="Times New Roman" panose="02020603050405020304" pitchFamily="18" charset="0"/>
              <a:cs typeface="Times New Roman" panose="02020603050405020304" pitchFamily="18" charset="0"/>
            </a:rPr>
            <a:t>Columns of first matrix must be equal to rows of second matrix.</a:t>
          </a:r>
        </a:p>
      </xdr:txBody>
    </xdr:sp>
    <xdr:clientData/>
  </xdr:twoCellAnchor>
  <xdr:oneCellAnchor>
    <xdr:from>
      <xdr:col>8</xdr:col>
      <xdr:colOff>66261</xdr:colOff>
      <xdr:row>7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E8F43E-4151-4C21-8260-58BDDD12DF61}"/>
                </a:ext>
              </a:extLst>
            </xdr:cNvPr>
            <xdr:cNvSpPr txBox="1"/>
          </xdr:nvSpPr>
          <xdr:spPr>
            <a:xfrm>
              <a:off x="5143500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E8F43E-4151-4C21-8260-58BDDD12DF61}"/>
                </a:ext>
              </a:extLst>
            </xdr:cNvPr>
            <xdr:cNvSpPr txBox="1"/>
          </xdr:nvSpPr>
          <xdr:spPr>
            <a:xfrm>
              <a:off x="5143500" y="1789043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66261</xdr:colOff>
      <xdr:row>11</xdr:row>
      <xdr:rowOff>99391</xdr:rowOff>
    </xdr:from>
    <xdr:ext cx="402771" cy="420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A2AD94F-BDAD-4F83-948E-234E1ABDC1F2}"/>
                </a:ext>
              </a:extLst>
            </xdr:cNvPr>
            <xdr:cNvSpPr txBox="1"/>
          </xdr:nvSpPr>
          <xdr:spPr>
            <a:xfrm>
              <a:off x="5143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800" i="1">
                        <a:latin typeface="Cambria Math" panose="02040503050406030204" pitchFamily="18" charset="0"/>
                      </a:rPr>
                      <m:t>←</m:t>
                    </m:r>
                  </m:oMath>
                </m:oMathPara>
              </a14:m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A2AD94F-BDAD-4F83-948E-234E1ABDC1F2}"/>
                </a:ext>
              </a:extLst>
            </xdr:cNvPr>
            <xdr:cNvSpPr txBox="1"/>
          </xdr:nvSpPr>
          <xdr:spPr>
            <a:xfrm>
              <a:off x="5143500" y="2617304"/>
              <a:ext cx="402771" cy="420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800" i="0">
                  <a:latin typeface="Cambria Math" panose="02040503050406030204" pitchFamily="18" charset="0"/>
                </a:rPr>
                <a:t>←</a:t>
              </a:r>
              <a:endParaRPr lang="en-US" sz="28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T8HQzKZBRZk?si=QC5aRCp1f8vxChIh&amp;t=20" TargetMode="External"/><Relationship Id="rId2" Type="http://schemas.openxmlformats.org/officeDocument/2006/relationships/hyperlink" Target="http://www.youtube.com/@ItisSoftInfo" TargetMode="External"/><Relationship Id="rId1" Type="http://schemas.openxmlformats.org/officeDocument/2006/relationships/hyperlink" Target="http://www.youtube.com/ItisSoftInfo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youtu.be/T8HQzKZBRZk?si=QC5aRCp1f8vxChIh&amp;t=112" TargetMode="External"/><Relationship Id="rId4" Type="http://schemas.openxmlformats.org/officeDocument/2006/relationships/hyperlink" Target="https://youtu.be/T8HQzKZBRZk?si=QC5aRCp1f8vxChIh&amp;t=6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68CD-DA16-4FED-AF46-D4DF5007ED78}">
  <sheetPr codeName="Sheet1"/>
  <dimension ref="A2:G34"/>
  <sheetViews>
    <sheetView tabSelected="1" zoomScale="94" zoomScaleNormal="94" workbookViewId="0">
      <selection activeCell="E15" sqref="E15"/>
    </sheetView>
  </sheetViews>
  <sheetFormatPr defaultRowHeight="15.75" x14ac:dyDescent="0.25"/>
  <cols>
    <col min="1" max="1" width="9.140625" style="1"/>
    <col min="2" max="2" width="39.7109375" style="133" customWidth="1"/>
    <col min="3" max="3" width="26" style="1" bestFit="1" customWidth="1"/>
    <col min="4" max="4" width="9.140625" style="1"/>
    <col min="5" max="5" width="54.140625" style="1" customWidth="1"/>
    <col min="6" max="6" width="9.140625" style="1"/>
    <col min="7" max="7" width="36.7109375" style="1" customWidth="1"/>
    <col min="8" max="16384" width="9.140625" style="1"/>
  </cols>
  <sheetData>
    <row r="2" spans="1:7" ht="20.25" x14ac:dyDescent="0.25">
      <c r="B2" s="134" t="s">
        <v>68</v>
      </c>
      <c r="C2" s="134"/>
      <c r="D2" s="135" t="s">
        <v>71</v>
      </c>
      <c r="E2" s="135"/>
    </row>
    <row r="3" spans="1:7" ht="20.25" x14ac:dyDescent="0.25">
      <c r="B3" s="131"/>
      <c r="C3" s="131"/>
      <c r="D3" s="122"/>
      <c r="E3" s="123"/>
    </row>
    <row r="4" spans="1:7" ht="20.25" x14ac:dyDescent="0.25">
      <c r="B4" s="136" t="s">
        <v>78</v>
      </c>
      <c r="C4" s="136"/>
      <c r="D4" s="122"/>
      <c r="E4" s="132" t="s">
        <v>69</v>
      </c>
      <c r="F4" s="124"/>
      <c r="G4" s="132" t="s">
        <v>70</v>
      </c>
    </row>
    <row r="5" spans="1:7" ht="16.5" thickBot="1" x14ac:dyDescent="0.3"/>
    <row r="6" spans="1:7" ht="21.95" customHeight="1" thickTop="1" thickBot="1" x14ac:dyDescent="0.3">
      <c r="B6" s="3" t="s">
        <v>51</v>
      </c>
      <c r="C6" s="3" t="s">
        <v>53</v>
      </c>
      <c r="E6" s="4" t="s">
        <v>54</v>
      </c>
      <c r="G6" s="4" t="s">
        <v>63</v>
      </c>
    </row>
    <row r="7" spans="1:7" ht="21.95" customHeight="1" thickTop="1" thickBot="1" x14ac:dyDescent="0.3">
      <c r="A7" s="5"/>
      <c r="B7" s="6" t="s">
        <v>10</v>
      </c>
      <c r="C7" s="6">
        <v>1</v>
      </c>
      <c r="E7" s="7" t="s">
        <v>53</v>
      </c>
      <c r="G7" s="125" t="s">
        <v>53</v>
      </c>
    </row>
    <row r="8" spans="1:7" ht="21.95" customHeight="1" thickTop="1" x14ac:dyDescent="0.25">
      <c r="A8" s="5"/>
      <c r="B8" s="8" t="s">
        <v>11</v>
      </c>
      <c r="C8" s="8">
        <v>2</v>
      </c>
      <c r="E8" s="9" t="s">
        <v>55</v>
      </c>
      <c r="F8" s="127"/>
      <c r="G8" s="129" t="s">
        <v>72</v>
      </c>
    </row>
    <row r="9" spans="1:7" ht="21.95" customHeight="1" x14ac:dyDescent="0.25">
      <c r="A9" s="5"/>
      <c r="B9" s="10" t="s">
        <v>12</v>
      </c>
      <c r="C9" s="10">
        <v>3</v>
      </c>
      <c r="E9" s="11" t="s">
        <v>58</v>
      </c>
      <c r="F9" s="127"/>
      <c r="G9" s="130" t="s">
        <v>73</v>
      </c>
    </row>
    <row r="10" spans="1:7" ht="21.95" customHeight="1" x14ac:dyDescent="0.25">
      <c r="A10" s="5"/>
      <c r="B10" s="8" t="s">
        <v>13</v>
      </c>
      <c r="C10" s="8">
        <v>4</v>
      </c>
      <c r="E10" s="13" t="s">
        <v>61</v>
      </c>
      <c r="F10" s="127"/>
      <c r="G10" s="130" t="s">
        <v>74</v>
      </c>
    </row>
    <row r="11" spans="1:7" ht="21.95" customHeight="1" thickBot="1" x14ac:dyDescent="0.3">
      <c r="A11" s="5"/>
      <c r="B11" s="14" t="s">
        <v>14</v>
      </c>
      <c r="C11" s="14">
        <v>5</v>
      </c>
      <c r="E11" s="12" t="s">
        <v>62</v>
      </c>
      <c r="F11" s="127"/>
      <c r="G11" s="128" t="s">
        <v>64</v>
      </c>
    </row>
    <row r="12" spans="1:7" ht="21.95" customHeight="1" thickTop="1" x14ac:dyDescent="0.25">
      <c r="A12" s="5"/>
      <c r="B12" s="14" t="s">
        <v>15</v>
      </c>
      <c r="C12" s="14">
        <v>6</v>
      </c>
      <c r="F12" s="127"/>
      <c r="G12" s="130" t="s">
        <v>75</v>
      </c>
    </row>
    <row r="13" spans="1:7" ht="21.95" customHeight="1" x14ac:dyDescent="0.25">
      <c r="A13" s="5"/>
      <c r="B13" s="10" t="s">
        <v>31</v>
      </c>
      <c r="C13" s="10">
        <v>7</v>
      </c>
      <c r="F13" s="127"/>
      <c r="G13" s="130" t="s">
        <v>76</v>
      </c>
    </row>
    <row r="14" spans="1:7" ht="21.95" customHeight="1" x14ac:dyDescent="0.25">
      <c r="A14" s="5"/>
      <c r="B14" s="10" t="s">
        <v>32</v>
      </c>
      <c r="C14" s="10">
        <v>8</v>
      </c>
      <c r="F14" s="127"/>
      <c r="G14" s="130" t="s">
        <v>77</v>
      </c>
    </row>
    <row r="15" spans="1:7" ht="21.95" customHeight="1" thickBot="1" x14ac:dyDescent="0.3">
      <c r="A15" s="5"/>
      <c r="B15" s="8" t="s">
        <v>16</v>
      </c>
      <c r="C15" s="8">
        <v>9</v>
      </c>
      <c r="F15" s="127"/>
      <c r="G15" s="12" t="s">
        <v>67</v>
      </c>
    </row>
    <row r="16" spans="1:7" ht="21.95" customHeight="1" thickTop="1" x14ac:dyDescent="0.25">
      <c r="A16" s="5"/>
      <c r="B16" s="14" t="s">
        <v>17</v>
      </c>
      <c r="C16" s="14">
        <v>10</v>
      </c>
      <c r="G16" s="126"/>
    </row>
    <row r="17" spans="1:3" ht="21.95" customHeight="1" x14ac:dyDescent="0.25">
      <c r="A17" s="5"/>
      <c r="B17" s="10" t="s">
        <v>18</v>
      </c>
      <c r="C17" s="10">
        <v>11</v>
      </c>
    </row>
    <row r="18" spans="1:3" ht="21.95" customHeight="1" x14ac:dyDescent="0.25">
      <c r="A18" s="5"/>
      <c r="B18" s="8" t="s">
        <v>19</v>
      </c>
      <c r="C18" s="8">
        <v>12</v>
      </c>
    </row>
    <row r="19" spans="1:3" ht="21.95" customHeight="1" x14ac:dyDescent="0.25">
      <c r="A19" s="5"/>
      <c r="B19" s="14" t="s">
        <v>20</v>
      </c>
      <c r="C19" s="14">
        <v>13</v>
      </c>
    </row>
    <row r="20" spans="1:3" ht="21.95" customHeight="1" x14ac:dyDescent="0.25">
      <c r="A20" s="5"/>
      <c r="B20" s="14" t="s">
        <v>21</v>
      </c>
      <c r="C20" s="14">
        <v>14</v>
      </c>
    </row>
    <row r="21" spans="1:3" ht="21.95" customHeight="1" x14ac:dyDescent="0.25">
      <c r="A21" s="5"/>
      <c r="B21" s="14" t="s">
        <v>22</v>
      </c>
      <c r="C21" s="14">
        <v>15</v>
      </c>
    </row>
    <row r="22" spans="1:3" ht="21.95" customHeight="1" x14ac:dyDescent="0.25">
      <c r="A22" s="5"/>
      <c r="B22" s="10" t="s">
        <v>23</v>
      </c>
      <c r="C22" s="10">
        <v>16</v>
      </c>
    </row>
    <row r="23" spans="1:3" ht="21.95" customHeight="1" x14ac:dyDescent="0.25">
      <c r="A23" s="5"/>
      <c r="B23" s="8" t="s">
        <v>24</v>
      </c>
      <c r="C23" s="8">
        <v>17</v>
      </c>
    </row>
    <row r="24" spans="1:3" ht="21.95" customHeight="1" x14ac:dyDescent="0.25">
      <c r="A24" s="5"/>
      <c r="B24" s="10" t="s">
        <v>25</v>
      </c>
      <c r="C24" s="10">
        <v>18</v>
      </c>
    </row>
    <row r="25" spans="1:3" ht="21.95" customHeight="1" x14ac:dyDescent="0.25">
      <c r="A25" s="5"/>
      <c r="B25" s="10" t="s">
        <v>26</v>
      </c>
      <c r="C25" s="10">
        <v>19</v>
      </c>
    </row>
    <row r="26" spans="1:3" ht="21.95" customHeight="1" x14ac:dyDescent="0.25">
      <c r="A26" s="5"/>
      <c r="B26" s="8" t="s">
        <v>27</v>
      </c>
      <c r="C26" s="8">
        <v>20</v>
      </c>
    </row>
    <row r="27" spans="1:3" ht="21.95" customHeight="1" x14ac:dyDescent="0.25">
      <c r="A27" s="5"/>
      <c r="B27" s="14" t="s">
        <v>28</v>
      </c>
      <c r="C27" s="14">
        <v>21</v>
      </c>
    </row>
    <row r="28" spans="1:3" ht="21.95" customHeight="1" thickBot="1" x14ac:dyDescent="0.3">
      <c r="A28" s="5"/>
      <c r="B28" s="15" t="s">
        <v>29</v>
      </c>
      <c r="C28" s="15">
        <v>22</v>
      </c>
    </row>
    <row r="29" spans="1:3" ht="17.100000000000001" customHeight="1" thickTop="1" x14ac:dyDescent="0.25"/>
    <row r="30" spans="1:3" ht="17.100000000000001" customHeight="1" x14ac:dyDescent="0.25"/>
    <row r="31" spans="1:3" ht="17.100000000000001" customHeight="1" x14ac:dyDescent="0.25"/>
    <row r="32" spans="1:3" ht="17.100000000000001" customHeight="1" x14ac:dyDescent="0.25"/>
    <row r="33" ht="17.100000000000001" customHeight="1" x14ac:dyDescent="0.25"/>
    <row r="34" ht="17.100000000000001" customHeight="1" x14ac:dyDescent="0.25"/>
  </sheetData>
  <sheetProtection algorithmName="SHA-512" hashValue="Uu61jwaalxDKdoQ1s6xPjonI48HnmHoNHEbgUPsXdwVQZlcrTYk7FMyiPUgbpcMAarWWPECXuPns0AiaqjOcBg==" saltValue="CkwRysmATLO4RBcFpeHPdQ==" spinCount="100000" sheet="1" objects="1" scenarios="1"/>
  <mergeCells count="3">
    <mergeCell ref="B2:C2"/>
    <mergeCell ref="D2:E2"/>
    <mergeCell ref="B4:C4"/>
  </mergeCells>
  <hyperlinks>
    <hyperlink ref="C7" location="'1'!A1" display="'1'!A1" xr:uid="{51FD5061-4615-482A-9A31-F2234D8F7508}"/>
    <hyperlink ref="C8" location="'2'!A1" display="'2'!A1" xr:uid="{AC691EE8-9424-4E98-8549-25FA49FAAEA4}"/>
    <hyperlink ref="C9" location="'3'!A1" display="'3'!A1" xr:uid="{CDD40E69-25A1-4327-9BCE-BBB34BAF8F76}"/>
    <hyperlink ref="C10" location="'4'!A1" display="'4'!A1" xr:uid="{D93DAAD6-1FB0-40FE-BF42-042156138E88}"/>
    <hyperlink ref="C11" location="'5'!A1" display="'5'!A1" xr:uid="{44753E3C-0CA1-4050-AF7C-EC2E17A22325}"/>
    <hyperlink ref="C12" location="'6'!A1" display="'6'!A1" xr:uid="{723A1B91-B67D-4D63-BD97-899454ACB4B9}"/>
    <hyperlink ref="C13" location="'7'!A1" display="'7'!A1" xr:uid="{4F53767E-6003-4DBE-BF89-BCC00A66E9D5}"/>
    <hyperlink ref="C14" location="'8'!A1" display="'8'!A1" xr:uid="{2D6A4795-E6DA-4129-A6FD-9F125DBE634C}"/>
    <hyperlink ref="C15" location="'9'!A1" display="'9'!A1" xr:uid="{86614F31-ECAF-4944-9CE9-471C4EDA297F}"/>
    <hyperlink ref="C16" location="'10'!A1" display="'10'!A1" xr:uid="{43A4F22E-824C-4A00-90A8-84B3BFEB5A48}"/>
    <hyperlink ref="C17" location="'11'!A1" display="'11'!A1" xr:uid="{4037A8CA-8846-4BCB-999A-2CD2B9FFE72B}"/>
    <hyperlink ref="C18" location="'12'!A1" display="'12'!A1" xr:uid="{8D818D90-6AFF-4114-8CAC-2A8FCCE3B80E}"/>
    <hyperlink ref="C19" location="'13'!A1" display="'13'!A1" xr:uid="{8085812B-A4A5-4B64-9523-C8E87E43473F}"/>
    <hyperlink ref="C20" location="'14'!A1" display="'14'!A1" xr:uid="{3CDEF0E6-AE17-4149-A0BD-03D80E0D4447}"/>
    <hyperlink ref="C21" location="'15'!A1" display="'15'!A1" xr:uid="{C9AAC951-A334-4140-83D3-D77A24257F3A}"/>
    <hyperlink ref="C22" location="'16'!A1" display="'16'!A1" xr:uid="{DD2F5C6E-0849-4832-8598-24820FA4B59A}"/>
    <hyperlink ref="C23" location="'17'!A1" display="'17'!A1" xr:uid="{0FE72065-C084-41B6-9789-5213AD411C9A}"/>
    <hyperlink ref="C24" location="'18'!A1" display="'18'!A1" xr:uid="{F986DADC-D129-41FB-9DD7-69C777D1DE6C}"/>
    <hyperlink ref="C25" location="'19'!A1" display="'19'!A1" xr:uid="{E81E9EB7-EE1D-49FB-868C-127CAE6E2662}"/>
    <hyperlink ref="C26" location="'20'!A1" display="'20'!A1" xr:uid="{2E08673C-41E5-4386-AE89-4D6C5081F24B}"/>
    <hyperlink ref="C27" location="'21'!A1" display="'21'!A1" xr:uid="{1331B1BF-123B-49A9-AB77-A9089940921E}"/>
    <hyperlink ref="C28" location="'22'!A1" display="'22'!A1" xr:uid="{66052042-6B9D-4AB7-B82A-D3BBD928693C}"/>
    <hyperlink ref="E8" location="'Addition of 2x2 Matrix'!A1" display="Addition of 2x2 Matrix" xr:uid="{1C74BEB8-4BF4-46C8-9D03-8D00D13F8EBA}"/>
    <hyperlink ref="E9" location="'Subtraction of 2x2 Matrix'!A1" display="Subtraction of 2x2 Matrix" xr:uid="{31493A36-528D-4148-89AB-4B723FBB6930}"/>
    <hyperlink ref="E10" location="'Addition of 3x3 Matrix'!A1" display="Addition of 3x3 Matrix" xr:uid="{04EAB193-5538-4F26-B0AE-F8B96E7B4E02}"/>
    <hyperlink ref="E11" location="'Subtraction of 3x3 Matrix'!A1" display="Subtraction of 3x3 Matrix" xr:uid="{30A58C53-D79C-4E25-9773-93FB52813A9F}"/>
    <hyperlink ref="G15" location="'Transpose of 3x3 Matrix'!A1" display="Transpose of 3x3 Matrix" xr:uid="{109B3EE6-FCF5-47F8-B46E-DF96BA24BDDA}"/>
    <hyperlink ref="G11" location="'Transpose of 2x2 Matrix'!A1" display="Transpose of 2x2 Matrix" xr:uid="{C5993EA9-6DB5-4531-80CE-3EB66A49524B}"/>
    <hyperlink ref="D2" r:id="rId1" display="www.youtube.com/ItisSoftInfo" xr:uid="{5CCF74C2-6791-41D5-B8C8-50EED564F4C8}"/>
    <hyperlink ref="D2:E2" r:id="rId2" display="http://www.youtube.com/@ItisSoftInfo" xr:uid="{84F1E802-C041-4D39-BD31-B77E18BE093A}"/>
    <hyperlink ref="G8" location="'Transpose of 1x2 Matrix'!A1" display="Transpose of 1x2 Matrix" xr:uid="{949BD78D-6BC5-4333-896D-FBD418C27278}"/>
    <hyperlink ref="G9" location="'Transpose of 1x3 Matrix'!A1" display="Transpose of 1x3 Matrix" xr:uid="{1A0347CA-449D-4FD3-B1E8-CD467A1B4CEA}"/>
    <hyperlink ref="G10" location="'Transpose of 2x1 Matrix'!A1" display="Transpose of 2x1 Matrix" xr:uid="{D11BBE0E-6FE6-48D9-93AF-EAC482C8E932}"/>
    <hyperlink ref="G12" location="'Transpose of 2x3 Matrix'!A1" display="Transpose of 2x3 Matrix" xr:uid="{5F814C6F-B08E-4D91-AD65-A27CE714A8F2}"/>
    <hyperlink ref="G13" location="'Transpose of 3x1 Matrix'!A1" display="Transpose of 3x1 Matrix" xr:uid="{F3AB7593-1DD1-444C-805E-14FA10D52D05}"/>
    <hyperlink ref="G14" location="'Transpose of 3x2 Matrix'!A1" display="Transpose of 3x2 Matrix" xr:uid="{FBA3100F-F819-4BAD-A9B1-B5A952F23DE5}"/>
    <hyperlink ref="E4" r:id="rId3" xr:uid="{741CD8E1-FB92-4A18-9FC2-5D22CECEDA8B}"/>
    <hyperlink ref="B4:C4" r:id="rId4" display="Video Link for Multiplication" xr:uid="{6C236E5D-B38C-4C5E-A8A0-EEE979105460}"/>
    <hyperlink ref="G4" r:id="rId5" xr:uid="{554CC378-6804-474A-A11F-32958BAAC3B0}"/>
  </hyperlinks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4996-610C-4F22-B139-BBCBAF1D148E}">
  <sheetPr codeName="Sheet30"/>
  <dimension ref="A1:R13"/>
  <sheetViews>
    <sheetView zoomScale="160" zoomScaleNormal="160" workbookViewId="0">
      <selection activeCell="Q2" sqref="Q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6" width="7.7109375" style="119" customWidth="1"/>
    <col min="7" max="7" width="5.140625" style="119" bestFit="1" customWidth="1"/>
    <col min="8" max="9" width="2.7109375" style="119" customWidth="1"/>
    <col min="10" max="11" width="7.7109375" style="119" customWidth="1"/>
    <col min="12" max="12" width="2.7109375" style="119" customWidth="1"/>
    <col min="13" max="13" width="6.7109375" style="119" customWidth="1"/>
    <col min="14" max="14" width="5.140625" style="119" bestFit="1" customWidth="1"/>
    <col min="15" max="15" width="2.7109375" style="119" customWidth="1"/>
    <col min="16" max="16" width="9.140625" style="119"/>
    <col min="17" max="17" width="19" style="119" customWidth="1"/>
    <col min="18" max="18" width="10.5703125" style="119" bestFit="1" customWidth="1"/>
    <col min="19" max="16384" width="9.140625" style="119"/>
  </cols>
  <sheetData>
    <row r="1" spans="1:18" ht="16.5" thickBot="1" x14ac:dyDescent="0.3"/>
    <row r="2" spans="1:18" ht="17.25" thickTop="1" thickBot="1" x14ac:dyDescent="0.3">
      <c r="B2" s="140" t="s">
        <v>72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7"/>
      <c r="Q2" s="18" t="s">
        <v>52</v>
      </c>
    </row>
    <row r="3" spans="1:18" ht="20.25" thickTop="1" thickBot="1" x14ac:dyDescent="0.3">
      <c r="B3" s="19"/>
      <c r="C3" s="19"/>
      <c r="R3" s="100"/>
    </row>
    <row r="4" spans="1:18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"/>
    </row>
    <row r="5" spans="1:18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8" ht="17.100000000000001" customHeight="1" thickTop="1" thickBot="1" x14ac:dyDescent="0.3">
      <c r="A6" s="20"/>
      <c r="O6" s="25"/>
    </row>
    <row r="7" spans="1:18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54">
        <v>5</v>
      </c>
      <c r="F7" s="154">
        <v>0</v>
      </c>
      <c r="G7" s="139" t="s">
        <v>4</v>
      </c>
      <c r="H7" s="146" t="s">
        <v>7</v>
      </c>
      <c r="I7" s="147"/>
      <c r="J7" s="148" t="str">
        <f>_xlfn.CONCAT("Enter values for Matrix [",C4,"] here")</f>
        <v>Enter values for Matrix [A] here</v>
      </c>
      <c r="K7" s="149"/>
      <c r="L7" s="149"/>
      <c r="M7" s="149"/>
      <c r="N7" s="150"/>
      <c r="O7" s="20"/>
    </row>
    <row r="8" spans="1:18" ht="17.100000000000001" customHeight="1" thickBot="1" x14ac:dyDescent="0.3">
      <c r="A8" s="20"/>
      <c r="B8" s="144"/>
      <c r="C8" s="138"/>
      <c r="D8" s="145"/>
      <c r="E8" s="154"/>
      <c r="F8" s="154"/>
      <c r="G8" s="145"/>
      <c r="H8" s="146"/>
      <c r="I8" s="147"/>
      <c r="J8" s="151"/>
      <c r="K8" s="152"/>
      <c r="L8" s="152"/>
      <c r="M8" s="152"/>
      <c r="N8" s="153"/>
      <c r="O8" s="20"/>
    </row>
    <row r="9" spans="1:18" ht="17.100000000000001" customHeight="1" x14ac:dyDescent="0.25">
      <c r="A9" s="20"/>
      <c r="B9" s="121"/>
      <c r="E9" s="121"/>
      <c r="F9" s="121"/>
      <c r="O9" s="20"/>
    </row>
    <row r="10" spans="1:18" ht="17.100000000000001" customHeight="1" x14ac:dyDescent="0.25">
      <c r="A10" s="20"/>
      <c r="B10" s="137" t="str">
        <f>_xlfn.CONCAT("Matrix ", "[", C4, "]", _xlfn.UNICHAR(7488))</f>
        <v>Matrix [A]ᵀ</v>
      </c>
      <c r="C10" s="138" t="s">
        <v>2</v>
      </c>
      <c r="D10" s="139" t="s">
        <v>3</v>
      </c>
      <c r="E10" s="83">
        <f t="array" ref="E10:E11">TRANSPOSE(E7:F8)</f>
        <v>5</v>
      </c>
      <c r="F10" s="139" t="s">
        <v>4</v>
      </c>
      <c r="H10" s="102"/>
      <c r="I10" s="102"/>
      <c r="J10" s="103"/>
      <c r="K10" s="103"/>
      <c r="L10" s="103"/>
      <c r="M10" s="103"/>
      <c r="N10" s="103"/>
      <c r="O10" s="20"/>
    </row>
    <row r="11" spans="1:18" ht="17.100000000000001" customHeight="1" x14ac:dyDescent="0.25">
      <c r="A11" s="20"/>
      <c r="B11" s="137"/>
      <c r="C11" s="138"/>
      <c r="D11" s="139"/>
      <c r="E11" s="83">
        <v>0</v>
      </c>
      <c r="F11" s="139"/>
      <c r="H11" s="102"/>
      <c r="I11" s="102"/>
      <c r="J11" s="103"/>
      <c r="K11" s="103"/>
      <c r="L11" s="103"/>
      <c r="M11" s="103"/>
      <c r="N11" s="103"/>
      <c r="O11" s="20"/>
    </row>
    <row r="12" spans="1:18" ht="17.100000000000001" customHeight="1" thickBot="1" x14ac:dyDescent="0.3">
      <c r="A12" s="20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36"/>
    </row>
    <row r="13" spans="1:18" ht="16.5" thickTop="1" x14ac:dyDescent="0.25"/>
  </sheetData>
  <sheetProtection algorithmName="SHA-512" hashValue="pvSkaSfuOnh7/GE9iirvzMMkRs1VhTPfQM56A89mOx5RlOggxQZdEzYE5yHnjUKGpKiP81jtLWVUpL9I4UMZ7w==" saltValue="Vdda0VxMrOWuCxAa45mWkw==" spinCount="100000" sheet="1" objects="1" scenarios="1"/>
  <mergeCells count="14">
    <mergeCell ref="B10:B11"/>
    <mergeCell ref="C10:C11"/>
    <mergeCell ref="D10:D11"/>
    <mergeCell ref="F10:F11"/>
    <mergeCell ref="B2:O2"/>
    <mergeCell ref="D4:O4"/>
    <mergeCell ref="B7:B8"/>
    <mergeCell ref="C7:C8"/>
    <mergeCell ref="D7:D8"/>
    <mergeCell ref="G7:G8"/>
    <mergeCell ref="H7:I8"/>
    <mergeCell ref="J7:N8"/>
    <mergeCell ref="E7:E8"/>
    <mergeCell ref="F7:F8"/>
  </mergeCells>
  <hyperlinks>
    <hyperlink ref="Q2" location="'Main Page'!A1" display="Go to TOC Sheet" xr:uid="{D4F9A37F-0668-4D59-824C-516839417F61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01EC1-EAD7-491F-8CB4-58942BDE60DF}">
  <sheetPr codeName="Sheet31"/>
  <dimension ref="A1:S14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7" width="7.7109375" style="119" customWidth="1"/>
    <col min="8" max="8" width="5.140625" style="119" bestFit="1" customWidth="1"/>
    <col min="9" max="10" width="2.7109375" style="119" customWidth="1"/>
    <col min="11" max="12" width="7.7109375" style="119" customWidth="1"/>
    <col min="13" max="13" width="2.7109375" style="119" customWidth="1"/>
    <col min="14" max="14" width="6.7109375" style="119" customWidth="1"/>
    <col min="15" max="15" width="5.140625" style="119" bestFit="1" customWidth="1"/>
    <col min="16" max="16" width="2.7109375" style="119" customWidth="1"/>
    <col min="17" max="17" width="9.140625" style="119"/>
    <col min="18" max="18" width="19" style="119" customWidth="1"/>
    <col min="19" max="19" width="10.5703125" style="119" bestFit="1" customWidth="1"/>
    <col min="20" max="16384" width="9.140625" style="119"/>
  </cols>
  <sheetData>
    <row r="1" spans="1:19" ht="16.5" thickBot="1" x14ac:dyDescent="0.3"/>
    <row r="2" spans="1:19" ht="17.25" thickTop="1" thickBot="1" x14ac:dyDescent="0.3">
      <c r="B2" s="140" t="s">
        <v>73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2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54">
        <v>5</v>
      </c>
      <c r="F7" s="154">
        <v>2</v>
      </c>
      <c r="G7" s="154">
        <v>0</v>
      </c>
      <c r="H7" s="139" t="s">
        <v>4</v>
      </c>
      <c r="I7" s="146" t="s">
        <v>7</v>
      </c>
      <c r="J7" s="147"/>
      <c r="K7" s="148" t="str">
        <f>_xlfn.CONCAT("Enter values for Matrix [",C4,"] here")</f>
        <v>Enter values for Matrix [A] here</v>
      </c>
      <c r="L7" s="149"/>
      <c r="M7" s="149"/>
      <c r="N7" s="149"/>
      <c r="O7" s="150"/>
      <c r="P7" s="20"/>
    </row>
    <row r="8" spans="1:19" ht="17.100000000000001" customHeight="1" thickBot="1" x14ac:dyDescent="0.3">
      <c r="A8" s="20"/>
      <c r="B8" s="144"/>
      <c r="C8" s="138"/>
      <c r="D8" s="145"/>
      <c r="E8" s="154"/>
      <c r="F8" s="154"/>
      <c r="G8" s="154"/>
      <c r="H8" s="145"/>
      <c r="I8" s="146"/>
      <c r="J8" s="147"/>
      <c r="K8" s="151"/>
      <c r="L8" s="152"/>
      <c r="M8" s="152"/>
      <c r="N8" s="152"/>
      <c r="O8" s="153"/>
      <c r="P8" s="20"/>
    </row>
    <row r="9" spans="1:19" ht="17.100000000000001" customHeight="1" x14ac:dyDescent="0.25">
      <c r="A9" s="20"/>
      <c r="B9" s="121"/>
      <c r="E9" s="121"/>
      <c r="F9" s="121"/>
      <c r="G9" s="121"/>
      <c r="P9" s="20"/>
    </row>
    <row r="10" spans="1:19" ht="17.100000000000001" customHeight="1" x14ac:dyDescent="0.25">
      <c r="A10" s="20"/>
      <c r="B10" s="137" t="str">
        <f>_xlfn.CONCAT("Matrix ", "[", C4, "]", _xlfn.UNICHAR(7488))</f>
        <v>Matrix [A]ᵀ</v>
      </c>
      <c r="C10" s="138" t="s">
        <v>2</v>
      </c>
      <c r="D10" s="139" t="s">
        <v>3</v>
      </c>
      <c r="E10" s="83">
        <f t="array" ref="E10:E12">TRANSPOSE(E7:G8)</f>
        <v>5</v>
      </c>
      <c r="F10" s="139" t="s">
        <v>4</v>
      </c>
      <c r="I10" s="102"/>
      <c r="J10" s="102"/>
      <c r="K10" s="103"/>
      <c r="L10" s="103"/>
      <c r="M10" s="103"/>
      <c r="N10" s="103"/>
      <c r="O10" s="103"/>
      <c r="P10" s="20"/>
    </row>
    <row r="11" spans="1:19" ht="17.100000000000001" customHeight="1" x14ac:dyDescent="0.25">
      <c r="A11" s="20"/>
      <c r="B11" s="137"/>
      <c r="C11" s="138"/>
      <c r="D11" s="139"/>
      <c r="E11" s="83">
        <v>2</v>
      </c>
      <c r="F11" s="139"/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37"/>
      <c r="C12" s="138"/>
      <c r="D12" s="139"/>
      <c r="E12" s="83">
        <v>0</v>
      </c>
      <c r="F12" s="139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thickBot="1" x14ac:dyDescent="0.3">
      <c r="A13" s="20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6"/>
    </row>
    <row r="14" spans="1:19" ht="16.5" thickTop="1" x14ac:dyDescent="0.25"/>
  </sheetData>
  <sheetProtection algorithmName="SHA-512" hashValue="w4wrl5AYLIsp48xgE8d3Fun7qxfymXHQqzjNnPrhBrbqkZDSxgrdipJM9/STX60DFfHahhPcb62l4/KL9PNnCw==" saltValue="ITLMIYRZvmB+Uay+0oxPvA==" spinCount="100000" sheet="1" objects="1" scenarios="1"/>
  <mergeCells count="15">
    <mergeCell ref="B2:P2"/>
    <mergeCell ref="D4:P4"/>
    <mergeCell ref="B7:B8"/>
    <mergeCell ref="C7:C8"/>
    <mergeCell ref="D7:D8"/>
    <mergeCell ref="E7:E8"/>
    <mergeCell ref="G7:G8"/>
    <mergeCell ref="H7:H8"/>
    <mergeCell ref="I7:J8"/>
    <mergeCell ref="K7:O8"/>
    <mergeCell ref="B10:B12"/>
    <mergeCell ref="C10:C12"/>
    <mergeCell ref="D10:D12"/>
    <mergeCell ref="F10:F12"/>
    <mergeCell ref="F7:F8"/>
  </mergeCells>
  <hyperlinks>
    <hyperlink ref="R2" location="'Main Page'!A1" display="Go to TOC Sheet" xr:uid="{3D4B3860-2481-4F3D-9B42-B243F50C7FAF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D8BF7-FB11-494A-936A-C8DA72F8440E}">
  <sheetPr codeName="Sheet28"/>
  <dimension ref="A1:R13"/>
  <sheetViews>
    <sheetView zoomScale="160" zoomScaleNormal="160" workbookViewId="0">
      <selection activeCell="Q2" sqref="Q2"/>
    </sheetView>
  </sheetViews>
  <sheetFormatPr defaultRowHeight="15.75" x14ac:dyDescent="0.25"/>
  <cols>
    <col min="1" max="1" width="9.140625" style="16"/>
    <col min="2" max="2" width="27.7109375" style="16" customWidth="1"/>
    <col min="3" max="3" width="14.5703125" style="16" bestFit="1" customWidth="1"/>
    <col min="4" max="4" width="5.140625" style="16" bestFit="1" customWidth="1"/>
    <col min="5" max="6" width="7.7109375" style="16" customWidth="1"/>
    <col min="7" max="7" width="5.140625" style="16" bestFit="1" customWidth="1"/>
    <col min="8" max="9" width="2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8" width="10.5703125" style="16" bestFit="1" customWidth="1"/>
    <col min="19" max="16384" width="9.140625" style="16"/>
  </cols>
  <sheetData>
    <row r="1" spans="1:18" ht="16.5" thickBot="1" x14ac:dyDescent="0.3"/>
    <row r="2" spans="1:18" ht="17.25" thickTop="1" thickBot="1" x14ac:dyDescent="0.3">
      <c r="B2" s="140" t="s">
        <v>64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7"/>
      <c r="Q2" s="18" t="s">
        <v>52</v>
      </c>
    </row>
    <row r="3" spans="1:18" ht="20.25" thickTop="1" thickBot="1" x14ac:dyDescent="0.3">
      <c r="B3" s="19"/>
      <c r="C3" s="19"/>
      <c r="R3" s="100"/>
    </row>
    <row r="4" spans="1:18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"/>
    </row>
    <row r="5" spans="1:18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</row>
    <row r="6" spans="1:18" ht="17.100000000000001" customHeight="1" thickTop="1" thickBot="1" x14ac:dyDescent="0.3">
      <c r="A6" s="20"/>
      <c r="O6" s="25"/>
    </row>
    <row r="7" spans="1:18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5</v>
      </c>
      <c r="F7" s="109">
        <v>0</v>
      </c>
      <c r="G7" s="139" t="s">
        <v>4</v>
      </c>
      <c r="H7" s="146" t="s">
        <v>7</v>
      </c>
      <c r="I7" s="147"/>
      <c r="J7" s="148" t="str">
        <f>_xlfn.CONCAT("Enter values for Matrix [",C4,"] here")</f>
        <v>Enter values for Matrix [A] here</v>
      </c>
      <c r="K7" s="149"/>
      <c r="L7" s="149"/>
      <c r="M7" s="149"/>
      <c r="N7" s="150"/>
      <c r="O7" s="20"/>
    </row>
    <row r="8" spans="1:18" ht="17.100000000000001" customHeight="1" thickBot="1" x14ac:dyDescent="0.3">
      <c r="A8" s="20"/>
      <c r="B8" s="144"/>
      <c r="C8" s="138"/>
      <c r="D8" s="145"/>
      <c r="E8" s="110">
        <v>3</v>
      </c>
      <c r="F8" s="110">
        <v>10</v>
      </c>
      <c r="G8" s="145"/>
      <c r="H8" s="146"/>
      <c r="I8" s="147"/>
      <c r="J8" s="151"/>
      <c r="K8" s="152"/>
      <c r="L8" s="152"/>
      <c r="M8" s="152"/>
      <c r="N8" s="153"/>
      <c r="O8" s="20"/>
    </row>
    <row r="9" spans="1:18" ht="17.100000000000001" customHeight="1" x14ac:dyDescent="0.25">
      <c r="A9" s="20"/>
      <c r="B9" s="87"/>
      <c r="E9" s="87"/>
      <c r="F9" s="87"/>
      <c r="O9" s="20"/>
    </row>
    <row r="10" spans="1:18" ht="17.100000000000001" customHeight="1" x14ac:dyDescent="0.25">
      <c r="A10" s="20"/>
      <c r="B10" s="155" t="str">
        <f>_xlfn.CONCAT("Matrix ", "[", C4, "]", _xlfn.UNICHAR(7488))</f>
        <v>Matrix [A]ᵀ</v>
      </c>
      <c r="C10" s="138" t="s">
        <v>2</v>
      </c>
      <c r="D10" s="139" t="s">
        <v>3</v>
      </c>
      <c r="E10" s="83">
        <f t="array" ref="E10:F11">TRANSPOSE(E7:F8)</f>
        <v>5</v>
      </c>
      <c r="F10" s="84">
        <v>3</v>
      </c>
      <c r="G10" s="139" t="s">
        <v>4</v>
      </c>
      <c r="H10" s="102"/>
      <c r="I10" s="102"/>
      <c r="J10" s="103"/>
      <c r="K10" s="103"/>
      <c r="L10" s="103"/>
      <c r="M10" s="103"/>
      <c r="N10" s="103"/>
      <c r="O10" s="20"/>
    </row>
    <row r="11" spans="1:18" ht="17.100000000000001" customHeight="1" x14ac:dyDescent="0.25">
      <c r="A11" s="20"/>
      <c r="B11" s="155"/>
      <c r="C11" s="138"/>
      <c r="D11" s="145"/>
      <c r="E11" s="83">
        <v>0</v>
      </c>
      <c r="F11" s="84">
        <v>10</v>
      </c>
      <c r="G11" s="145"/>
      <c r="H11" s="102"/>
      <c r="I11" s="102"/>
      <c r="J11" s="103"/>
      <c r="K11" s="103"/>
      <c r="L11" s="103"/>
      <c r="M11" s="103"/>
      <c r="N11" s="103"/>
      <c r="O11" s="20"/>
    </row>
    <row r="12" spans="1:18" ht="17.100000000000001" customHeight="1" thickBot="1" x14ac:dyDescent="0.3">
      <c r="A12" s="20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36"/>
    </row>
    <row r="13" spans="1:18" ht="16.5" thickTop="1" x14ac:dyDescent="0.25"/>
  </sheetData>
  <sheetProtection algorithmName="SHA-512" hashValue="tXpMMHmDPgAyDZzo6I7eDRxgmX6ab8sC6kyNp68BaY6Nxb3zM+gOlq08LHtBOEMQ6i8LjBQwpNae/zIlG4HfLg==" saltValue="DL7FsM89M/gwItXi6aECZw==" spinCount="100000" sheet="1" objects="1" scenarios="1"/>
  <mergeCells count="12">
    <mergeCell ref="B10:B11"/>
    <mergeCell ref="C10:C11"/>
    <mergeCell ref="D10:D11"/>
    <mergeCell ref="G10:G11"/>
    <mergeCell ref="B2:O2"/>
    <mergeCell ref="D4:O4"/>
    <mergeCell ref="B7:B8"/>
    <mergeCell ref="C7:C8"/>
    <mergeCell ref="D7:D8"/>
    <mergeCell ref="G7:G8"/>
    <mergeCell ref="H7:I8"/>
    <mergeCell ref="J7:N8"/>
  </mergeCells>
  <hyperlinks>
    <hyperlink ref="Q2" location="'Main Page'!A1" display="Go to TOC Sheet" xr:uid="{DAAE00CB-D90F-4A8B-987D-AE20B4F612CE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D45BC-27AB-4C5F-A7AC-D02887DCD81F}">
  <sheetPr codeName="Sheet32"/>
  <dimension ref="A1:P12"/>
  <sheetViews>
    <sheetView zoomScale="160" zoomScaleNormal="160" workbookViewId="0">
      <selection activeCell="O2" sqref="O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6" width="7.7109375" style="119" customWidth="1"/>
    <col min="7" max="7" width="5.140625" style="119" bestFit="1" customWidth="1"/>
    <col min="8" max="9" width="2.7109375" style="119" customWidth="1"/>
    <col min="10" max="11" width="7.7109375" style="119" customWidth="1"/>
    <col min="12" max="13" width="2.7109375" style="119" customWidth="1"/>
    <col min="14" max="14" width="9.140625" style="119"/>
    <col min="15" max="15" width="19" style="119" customWidth="1"/>
    <col min="16" max="16" width="10.5703125" style="119" bestFit="1" customWidth="1"/>
    <col min="17" max="16384" width="9.140625" style="119"/>
  </cols>
  <sheetData>
    <row r="1" spans="1:16" ht="16.5" thickBot="1" x14ac:dyDescent="0.3"/>
    <row r="2" spans="1:16" ht="17.25" thickTop="1" thickBot="1" x14ac:dyDescent="0.3">
      <c r="B2" s="140" t="s">
        <v>74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2"/>
      <c r="N2" s="17"/>
      <c r="O2" s="18" t="s">
        <v>52</v>
      </c>
    </row>
    <row r="3" spans="1:16" ht="20.25" thickTop="1" thickBot="1" x14ac:dyDescent="0.3">
      <c r="B3" s="19"/>
      <c r="C3" s="19"/>
      <c r="P3" s="100"/>
    </row>
    <row r="4" spans="1:16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7"/>
    </row>
    <row r="5" spans="1:16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1:16" ht="17.100000000000001" customHeight="1" thickTop="1" thickBot="1" x14ac:dyDescent="0.3">
      <c r="A6" s="20"/>
      <c r="M6" s="25"/>
    </row>
    <row r="7" spans="1:16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5</v>
      </c>
      <c r="F7" s="139" t="s">
        <v>4</v>
      </c>
      <c r="G7" s="146" t="s">
        <v>7</v>
      </c>
      <c r="H7" s="148" t="str">
        <f>_xlfn.CONCAT("Enter values for Matrix [",C4,"] here")</f>
        <v>Enter values for Matrix [A] here</v>
      </c>
      <c r="I7" s="149"/>
      <c r="J7" s="149"/>
      <c r="K7" s="149"/>
      <c r="L7" s="150"/>
      <c r="M7" s="20"/>
    </row>
    <row r="8" spans="1:16" ht="17.100000000000001" customHeight="1" thickBot="1" x14ac:dyDescent="0.3">
      <c r="A8" s="20"/>
      <c r="B8" s="144"/>
      <c r="C8" s="138"/>
      <c r="D8" s="145"/>
      <c r="E8" s="110">
        <v>3</v>
      </c>
      <c r="F8" s="145"/>
      <c r="G8" s="146"/>
      <c r="H8" s="151"/>
      <c r="I8" s="152"/>
      <c r="J8" s="152"/>
      <c r="K8" s="152"/>
      <c r="L8" s="153"/>
      <c r="M8" s="20"/>
    </row>
    <row r="9" spans="1:16" ht="17.100000000000001" customHeight="1" x14ac:dyDescent="0.25">
      <c r="A9" s="20"/>
      <c r="B9" s="121"/>
      <c r="E9" s="121"/>
      <c r="F9" s="121"/>
      <c r="M9" s="20"/>
    </row>
    <row r="10" spans="1:16" ht="35.1" customHeight="1" x14ac:dyDescent="0.25">
      <c r="A10" s="20"/>
      <c r="B10" s="118" t="str">
        <f>_xlfn.CONCAT("Matrix ", "[", C4, "]", _xlfn.UNICHAR(7488))</f>
        <v>Matrix [A]ᵀ</v>
      </c>
      <c r="C10" s="119" t="s">
        <v>2</v>
      </c>
      <c r="D10" s="120" t="s">
        <v>3</v>
      </c>
      <c r="E10" s="83">
        <f t="array" ref="E10:F10">TRANSPOSE(E7:E8)</f>
        <v>5</v>
      </c>
      <c r="F10" s="84">
        <v>3</v>
      </c>
      <c r="G10" s="120" t="s">
        <v>4</v>
      </c>
      <c r="H10" s="102"/>
      <c r="I10" s="102"/>
      <c r="J10" s="103"/>
      <c r="K10" s="103"/>
      <c r="L10" s="103"/>
      <c r="M10" s="20"/>
    </row>
    <row r="11" spans="1:16" ht="17.100000000000001" customHeight="1" thickBot="1" x14ac:dyDescent="0.3">
      <c r="A11" s="20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36"/>
    </row>
    <row r="12" spans="1:16" ht="16.5" thickTop="1" x14ac:dyDescent="0.25"/>
  </sheetData>
  <sheetProtection algorithmName="SHA-512" hashValue="Rwk+U2tMcBTP3WBE/MRssN5FyGoQt+6NyngXJ+fWWjtQ7tvAOrFAp5tl5U8rUXegbKhH2ztYNi0AX6e/1DptyQ==" saltValue="heQaym5Nq3bQdOtM8HcSmg==" spinCount="100000" sheet="1" objects="1" scenarios="1"/>
  <mergeCells count="8">
    <mergeCell ref="G7:G8"/>
    <mergeCell ref="H7:L8"/>
    <mergeCell ref="B2:M2"/>
    <mergeCell ref="D4:M4"/>
    <mergeCell ref="B7:B8"/>
    <mergeCell ref="C7:C8"/>
    <mergeCell ref="D7:D8"/>
    <mergeCell ref="F7:F8"/>
  </mergeCells>
  <hyperlinks>
    <hyperlink ref="O2" location="'Main Page'!A1" display="Go to TOC Sheet" xr:uid="{AAA83B03-A34A-4E19-A4F3-9DD2E5ABE4E1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F0AC8-6D89-432C-99FA-18F15B95ED81}">
  <sheetPr codeName="Sheet33"/>
  <dimension ref="A1:S14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7" width="7.7109375" style="119" customWidth="1"/>
    <col min="8" max="8" width="5.140625" style="119" bestFit="1" customWidth="1"/>
    <col min="9" max="10" width="3.28515625" style="119" customWidth="1"/>
    <col min="11" max="12" width="7.7109375" style="119" customWidth="1"/>
    <col min="13" max="13" width="2.7109375" style="119" customWidth="1"/>
    <col min="14" max="14" width="6.7109375" style="119" customWidth="1"/>
    <col min="15" max="15" width="5.140625" style="119" bestFit="1" customWidth="1"/>
    <col min="16" max="16" width="2.7109375" style="119" customWidth="1"/>
    <col min="17" max="17" width="9.140625" style="119"/>
    <col min="18" max="18" width="19" style="119" customWidth="1"/>
    <col min="19" max="19" width="10.5703125" style="119" bestFit="1" customWidth="1"/>
    <col min="20" max="16384" width="9.140625" style="119"/>
  </cols>
  <sheetData>
    <row r="1" spans="1:19" ht="16.5" thickBot="1" x14ac:dyDescent="0.3"/>
    <row r="2" spans="1:19" ht="17.25" thickTop="1" thickBot="1" x14ac:dyDescent="0.3">
      <c r="B2" s="140" t="s">
        <v>75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2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1</v>
      </c>
      <c r="F7" s="109">
        <v>2</v>
      </c>
      <c r="G7" s="109">
        <v>3</v>
      </c>
      <c r="H7" s="139" t="s">
        <v>4</v>
      </c>
      <c r="I7" s="146" t="s">
        <v>7</v>
      </c>
      <c r="J7" s="156"/>
      <c r="K7" s="148" t="str">
        <f>_xlfn.CONCAT("Enter values for Matrix [",C4,"] here")</f>
        <v>Enter values for Matrix [A] here</v>
      </c>
      <c r="L7" s="149"/>
      <c r="M7" s="149"/>
      <c r="N7" s="149"/>
      <c r="O7" s="150"/>
      <c r="P7" s="20"/>
    </row>
    <row r="8" spans="1:19" ht="17.100000000000001" customHeight="1" thickBot="1" x14ac:dyDescent="0.3">
      <c r="A8" s="20"/>
      <c r="B8" s="144"/>
      <c r="C8" s="138"/>
      <c r="D8" s="139"/>
      <c r="E8" s="111">
        <v>4</v>
      </c>
      <c r="F8" s="111">
        <v>5</v>
      </c>
      <c r="G8" s="111">
        <v>6</v>
      </c>
      <c r="H8" s="139"/>
      <c r="I8" s="146"/>
      <c r="J8" s="156"/>
      <c r="K8" s="151"/>
      <c r="L8" s="152"/>
      <c r="M8" s="152"/>
      <c r="N8" s="152"/>
      <c r="O8" s="153"/>
      <c r="P8" s="20"/>
    </row>
    <row r="9" spans="1:19" x14ac:dyDescent="0.25">
      <c r="A9" s="20"/>
      <c r="B9" s="121"/>
      <c r="E9" s="121"/>
      <c r="F9" s="121"/>
      <c r="G9" s="121"/>
      <c r="P9" s="20"/>
    </row>
    <row r="10" spans="1:19" ht="17.100000000000001" customHeight="1" x14ac:dyDescent="0.25">
      <c r="A10" s="20"/>
      <c r="B10" s="155" t="str">
        <f>_xlfn.CONCAT("Matrix ", "[", C4, "]", _xlfn.UNICHAR(7488))</f>
        <v>Matrix [A]ᵀ</v>
      </c>
      <c r="C10" s="138" t="s">
        <v>2</v>
      </c>
      <c r="D10" s="139" t="s">
        <v>3</v>
      </c>
      <c r="E10" s="83">
        <f t="array" ref="E10:F12">TRANSPOSE(E7:G8)</f>
        <v>1</v>
      </c>
      <c r="F10" s="85">
        <v>4</v>
      </c>
      <c r="G10" s="139" t="s">
        <v>4</v>
      </c>
      <c r="I10" s="102"/>
      <c r="J10" s="102"/>
      <c r="K10" s="103"/>
      <c r="L10" s="103"/>
      <c r="M10" s="103"/>
      <c r="N10" s="103"/>
      <c r="O10" s="103"/>
      <c r="P10" s="20"/>
    </row>
    <row r="11" spans="1:19" ht="17.100000000000001" customHeight="1" x14ac:dyDescent="0.25">
      <c r="A11" s="20"/>
      <c r="B11" s="155"/>
      <c r="C11" s="138"/>
      <c r="D11" s="139"/>
      <c r="E11" s="83">
        <v>2</v>
      </c>
      <c r="F11" s="85">
        <v>5</v>
      </c>
      <c r="G11" s="139"/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55"/>
      <c r="C12" s="138"/>
      <c r="D12" s="145"/>
      <c r="E12" s="83">
        <v>3</v>
      </c>
      <c r="F12" s="85">
        <v>6</v>
      </c>
      <c r="G12" s="145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thickBot="1" x14ac:dyDescent="0.3">
      <c r="A13" s="20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6"/>
    </row>
    <row r="14" spans="1:19" ht="16.5" thickTop="1" x14ac:dyDescent="0.25"/>
  </sheetData>
  <sheetProtection algorithmName="SHA-512" hashValue="CGe9aBlr55gTHk0bZDFdqcccQqm6udkQdQb5iojBu+ZSL6Q/7fVXfkNEelvwMX6kLDz8nKMSXfA5azhtFtyrqQ==" saltValue="LrurN7Zs9WipVd3Ag/k96w==" spinCount="100000" sheet="1" objects="1" scenarios="1"/>
  <mergeCells count="12">
    <mergeCell ref="B10:B12"/>
    <mergeCell ref="C10:C12"/>
    <mergeCell ref="D10:D12"/>
    <mergeCell ref="G10:G12"/>
    <mergeCell ref="B2:P2"/>
    <mergeCell ref="D4:P4"/>
    <mergeCell ref="B7:B8"/>
    <mergeCell ref="C7:C8"/>
    <mergeCell ref="D7:D8"/>
    <mergeCell ref="H7:H8"/>
    <mergeCell ref="I7:J8"/>
    <mergeCell ref="K7:O8"/>
  </mergeCells>
  <hyperlinks>
    <hyperlink ref="R2" location="'Main Page'!A1" display="Go to TOC Sheet" xr:uid="{69B0B42C-7581-40F7-AD11-585CF5886398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29305-0718-4D62-8281-3A3BD903E7D0}">
  <sheetPr codeName="Sheet34"/>
  <dimension ref="A1:P13"/>
  <sheetViews>
    <sheetView zoomScale="160" zoomScaleNormal="160" workbookViewId="0">
      <selection activeCell="O2" sqref="O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7" width="7.7109375" style="119" customWidth="1"/>
    <col min="8" max="8" width="5.140625" style="119" bestFit="1" customWidth="1"/>
    <col min="9" max="10" width="3.28515625" style="119" customWidth="1"/>
    <col min="11" max="12" width="7.7109375" style="119" customWidth="1"/>
    <col min="13" max="13" width="2.7109375" style="119" customWidth="1"/>
    <col min="14" max="14" width="9.140625" style="119"/>
    <col min="15" max="15" width="19" style="119" customWidth="1"/>
    <col min="16" max="16" width="10.5703125" style="119" bestFit="1" customWidth="1"/>
    <col min="17" max="16384" width="9.140625" style="119"/>
  </cols>
  <sheetData>
    <row r="1" spans="1:16" ht="16.5" thickBot="1" x14ac:dyDescent="0.3"/>
    <row r="2" spans="1:16" ht="17.25" thickTop="1" thickBot="1" x14ac:dyDescent="0.3">
      <c r="B2" s="140" t="s">
        <v>76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2"/>
      <c r="N2" s="17"/>
      <c r="O2" s="18" t="s">
        <v>52</v>
      </c>
    </row>
    <row r="3" spans="1:16" ht="20.25" thickTop="1" thickBot="1" x14ac:dyDescent="0.3">
      <c r="B3" s="19"/>
      <c r="C3" s="19"/>
      <c r="P3" s="100"/>
    </row>
    <row r="4" spans="1:16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7"/>
    </row>
    <row r="5" spans="1:16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1:16" ht="17.100000000000001" customHeight="1" thickTop="1" thickBot="1" x14ac:dyDescent="0.3">
      <c r="A6" s="20"/>
      <c r="M6" s="25"/>
    </row>
    <row r="7" spans="1:16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1</v>
      </c>
      <c r="F7" s="139" t="s">
        <v>4</v>
      </c>
      <c r="G7" s="157" t="s">
        <v>7</v>
      </c>
      <c r="H7" s="148" t="str">
        <f>_xlfn.CONCAT("Enter values for Matrix [",C4,"] here")</f>
        <v>Enter values for Matrix [A] here</v>
      </c>
      <c r="I7" s="149"/>
      <c r="J7" s="149"/>
      <c r="K7" s="149"/>
      <c r="L7" s="150"/>
      <c r="M7" s="20"/>
    </row>
    <row r="8" spans="1:16" ht="17.100000000000001" customHeight="1" x14ac:dyDescent="0.25">
      <c r="A8" s="20"/>
      <c r="B8" s="144"/>
      <c r="C8" s="138"/>
      <c r="D8" s="139"/>
      <c r="E8" s="111">
        <v>4</v>
      </c>
      <c r="F8" s="139"/>
      <c r="G8" s="157"/>
      <c r="H8" s="158"/>
      <c r="I8" s="159"/>
      <c r="J8" s="159"/>
      <c r="K8" s="159"/>
      <c r="L8" s="160"/>
      <c r="M8" s="20"/>
    </row>
    <row r="9" spans="1:16" ht="17.100000000000001" customHeight="1" thickBot="1" x14ac:dyDescent="0.3">
      <c r="A9" s="20"/>
      <c r="B9" s="144"/>
      <c r="C9" s="138"/>
      <c r="D9" s="145"/>
      <c r="E9" s="110">
        <v>7</v>
      </c>
      <c r="F9" s="145"/>
      <c r="G9" s="157"/>
      <c r="H9" s="151"/>
      <c r="I9" s="152"/>
      <c r="J9" s="152"/>
      <c r="K9" s="152"/>
      <c r="L9" s="153"/>
      <c r="M9" s="20"/>
    </row>
    <row r="10" spans="1:16" x14ac:dyDescent="0.25">
      <c r="A10" s="20"/>
      <c r="B10" s="121"/>
      <c r="E10" s="121"/>
      <c r="F10" s="121"/>
      <c r="G10" s="121"/>
      <c r="M10" s="20"/>
    </row>
    <row r="11" spans="1:16" ht="35.1" customHeight="1" x14ac:dyDescent="0.25">
      <c r="A11" s="20"/>
      <c r="B11" s="118" t="str">
        <f>_xlfn.CONCAT("Matrix ", "[", C4, "]", _xlfn.UNICHAR(7488))</f>
        <v>Matrix [A]ᵀ</v>
      </c>
      <c r="C11" s="119" t="s">
        <v>2</v>
      </c>
      <c r="D11" s="120" t="s">
        <v>3</v>
      </c>
      <c r="E11" s="83">
        <f t="array" ref="E11:G11">TRANSPOSE(E7:E9)</f>
        <v>1</v>
      </c>
      <c r="F11" s="85">
        <v>4</v>
      </c>
      <c r="G11" s="84">
        <v>7</v>
      </c>
      <c r="H11" s="120" t="s">
        <v>4</v>
      </c>
      <c r="I11" s="102"/>
      <c r="J11" s="102"/>
      <c r="K11" s="103"/>
      <c r="L11" s="103"/>
      <c r="M11" s="20"/>
    </row>
    <row r="12" spans="1:16" ht="17.100000000000001" customHeight="1" thickBot="1" x14ac:dyDescent="0.3">
      <c r="A12" s="20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36"/>
    </row>
    <row r="13" spans="1:16" ht="16.5" thickTop="1" x14ac:dyDescent="0.25"/>
  </sheetData>
  <sheetProtection algorithmName="SHA-512" hashValue="4qjpYyMWv+d9mr2i4BkwHmfpGdJFA3heH04FczMhiSdveZmIyoh+f7PS5n7tLOYE/H0HxTWX7w3+RfoTBywFkQ==" saltValue="I7Ne0YmvnPVRtxw8TmVsWA==" spinCount="100000" sheet="1" objects="1" scenarios="1"/>
  <mergeCells count="8">
    <mergeCell ref="G7:G9"/>
    <mergeCell ref="H7:L9"/>
    <mergeCell ref="B2:M2"/>
    <mergeCell ref="D4:M4"/>
    <mergeCell ref="B7:B9"/>
    <mergeCell ref="C7:C9"/>
    <mergeCell ref="D7:D9"/>
    <mergeCell ref="F7:F9"/>
  </mergeCells>
  <hyperlinks>
    <hyperlink ref="O2" location="'Main Page'!A1" display="Go to TOC Sheet" xr:uid="{E30D0F20-222B-4E0E-8BEB-0ED129A69FEE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B6EEF-5857-441C-909F-9C71F3D432E8}">
  <sheetPr codeName="Sheet29"/>
  <dimension ref="A1:S15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6"/>
    <col min="2" max="2" width="27.7109375" style="16" customWidth="1"/>
    <col min="3" max="3" width="14.5703125" style="16" bestFit="1" customWidth="1"/>
    <col min="4" max="4" width="5.140625" style="16" bestFit="1" customWidth="1"/>
    <col min="5" max="7" width="7.7109375" style="16" customWidth="1"/>
    <col min="8" max="8" width="5.140625" style="16" bestFit="1" customWidth="1"/>
    <col min="9" max="10" width="3.28515625" style="16" customWidth="1"/>
    <col min="11" max="12" width="7.7109375" style="16" customWidth="1"/>
    <col min="13" max="13" width="2.7109375" style="16" customWidth="1"/>
    <col min="14" max="14" width="6.7109375" style="16" customWidth="1"/>
    <col min="15" max="15" width="5.140625" style="16" bestFit="1" customWidth="1"/>
    <col min="16" max="16" width="2.7109375" style="16" customWidth="1"/>
    <col min="17" max="17" width="9.140625" style="16"/>
    <col min="18" max="18" width="19" style="16" customWidth="1"/>
    <col min="19" max="19" width="10.5703125" style="16" bestFit="1" customWidth="1"/>
    <col min="20" max="16384" width="9.140625" style="16"/>
  </cols>
  <sheetData>
    <row r="1" spans="1:19" ht="16.5" thickBot="1" x14ac:dyDescent="0.3"/>
    <row r="2" spans="1:19" ht="17.25" thickTop="1" thickBot="1" x14ac:dyDescent="0.3">
      <c r="B2" s="140" t="s">
        <v>67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2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1</v>
      </c>
      <c r="F7" s="109">
        <v>2</v>
      </c>
      <c r="G7" s="109">
        <v>3</v>
      </c>
      <c r="H7" s="139" t="s">
        <v>4</v>
      </c>
      <c r="I7" s="157" t="s">
        <v>7</v>
      </c>
      <c r="J7" s="161"/>
      <c r="K7" s="148" t="str">
        <f>_xlfn.CONCAT("Enter values for Matrix [",C4,"] here")</f>
        <v>Enter values for Matrix [A] here</v>
      </c>
      <c r="L7" s="149"/>
      <c r="M7" s="149"/>
      <c r="N7" s="149"/>
      <c r="O7" s="150"/>
      <c r="P7" s="20"/>
    </row>
    <row r="8" spans="1:19" ht="17.100000000000001" customHeight="1" x14ac:dyDescent="0.25">
      <c r="A8" s="20"/>
      <c r="B8" s="144"/>
      <c r="C8" s="138"/>
      <c r="D8" s="139"/>
      <c r="E8" s="111">
        <v>4</v>
      </c>
      <c r="F8" s="111">
        <v>5</v>
      </c>
      <c r="G8" s="111">
        <v>6</v>
      </c>
      <c r="H8" s="139"/>
      <c r="I8" s="157"/>
      <c r="J8" s="161"/>
      <c r="K8" s="158"/>
      <c r="L8" s="162"/>
      <c r="M8" s="162"/>
      <c r="N8" s="162"/>
      <c r="O8" s="160"/>
      <c r="P8" s="20"/>
    </row>
    <row r="9" spans="1:19" ht="17.100000000000001" customHeight="1" thickBot="1" x14ac:dyDescent="0.3">
      <c r="A9" s="20"/>
      <c r="B9" s="144"/>
      <c r="C9" s="138"/>
      <c r="D9" s="145"/>
      <c r="E9" s="110">
        <v>7</v>
      </c>
      <c r="F9" s="110">
        <v>8</v>
      </c>
      <c r="G9" s="110">
        <v>9</v>
      </c>
      <c r="H9" s="145"/>
      <c r="I9" s="157"/>
      <c r="J9" s="161"/>
      <c r="K9" s="151"/>
      <c r="L9" s="152"/>
      <c r="M9" s="152"/>
      <c r="N9" s="152"/>
      <c r="O9" s="153"/>
      <c r="P9" s="20"/>
    </row>
    <row r="10" spans="1:19" x14ac:dyDescent="0.25">
      <c r="A10" s="20"/>
      <c r="B10" s="87"/>
      <c r="E10" s="87"/>
      <c r="F10" s="87"/>
      <c r="G10" s="87"/>
      <c r="P10" s="20"/>
    </row>
    <row r="11" spans="1:19" ht="17.100000000000001" customHeight="1" x14ac:dyDescent="0.25">
      <c r="A11" s="20"/>
      <c r="B11" s="155" t="str">
        <f>_xlfn.CONCAT("Matrix ", "[", C4, "]", _xlfn.UNICHAR(7488))</f>
        <v>Matrix [A]ᵀ</v>
      </c>
      <c r="C11" s="138" t="s">
        <v>2</v>
      </c>
      <c r="D11" s="139" t="s">
        <v>3</v>
      </c>
      <c r="E11" s="83">
        <f t="array" ref="E11:G13">TRANSPOSE(E7:G9)</f>
        <v>1</v>
      </c>
      <c r="F11" s="85">
        <v>4</v>
      </c>
      <c r="G11" s="84">
        <v>7</v>
      </c>
      <c r="H11" s="139" t="s">
        <v>4</v>
      </c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55"/>
      <c r="C12" s="138"/>
      <c r="D12" s="139"/>
      <c r="E12" s="83">
        <v>2</v>
      </c>
      <c r="F12" s="85">
        <v>5</v>
      </c>
      <c r="G12" s="84">
        <v>8</v>
      </c>
      <c r="H12" s="139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x14ac:dyDescent="0.25">
      <c r="A13" s="20"/>
      <c r="B13" s="155"/>
      <c r="C13" s="138"/>
      <c r="D13" s="145"/>
      <c r="E13" s="83">
        <v>3</v>
      </c>
      <c r="F13" s="85">
        <v>6</v>
      </c>
      <c r="G13" s="84">
        <v>9</v>
      </c>
      <c r="H13" s="145"/>
      <c r="I13" s="102"/>
      <c r="J13" s="102"/>
      <c r="K13" s="103"/>
      <c r="L13" s="103"/>
      <c r="M13" s="103"/>
      <c r="N13" s="103"/>
      <c r="O13" s="103"/>
      <c r="P13" s="20"/>
    </row>
    <row r="14" spans="1:19" ht="17.100000000000001" customHeight="1" thickBot="1" x14ac:dyDescent="0.3">
      <c r="A14" s="20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36"/>
    </row>
    <row r="15" spans="1:19" ht="16.5" thickTop="1" x14ac:dyDescent="0.25"/>
  </sheetData>
  <sheetProtection algorithmName="SHA-512" hashValue="Q1MNN5U+XavGa3C3/C3wtn5U0qHQTf8kmJJDVoXmpzEZhMGfywbwvcRNk1qJxkU2KgxZ4FiuE7N7cIit8QV/ZA==" saltValue="AKWxK+yVs79EZnn0lxV5Qg==" spinCount="100000" sheet="1" objects="1" scenarios="1"/>
  <mergeCells count="12">
    <mergeCell ref="B11:B13"/>
    <mergeCell ref="C11:C13"/>
    <mergeCell ref="D11:D13"/>
    <mergeCell ref="H11:H13"/>
    <mergeCell ref="B2:P2"/>
    <mergeCell ref="D4:P4"/>
    <mergeCell ref="B7:B9"/>
    <mergeCell ref="C7:C9"/>
    <mergeCell ref="D7:D9"/>
    <mergeCell ref="H7:H9"/>
    <mergeCell ref="I7:J9"/>
    <mergeCell ref="K7:O9"/>
  </mergeCells>
  <hyperlinks>
    <hyperlink ref="R2" location="'Main Page'!A1" display="Go to TOC Sheet" xr:uid="{74985267-4880-4DA4-9340-31BFA16E54DB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F4C90-A100-4761-B4F9-44697D278852}">
  <sheetPr codeName="Sheet35"/>
  <dimension ref="A1:S14"/>
  <sheetViews>
    <sheetView zoomScale="160" zoomScaleNormal="160" workbookViewId="0">
      <selection activeCell="R2" sqref="R2"/>
    </sheetView>
  </sheetViews>
  <sheetFormatPr defaultRowHeight="15.75" x14ac:dyDescent="0.25"/>
  <cols>
    <col min="1" max="1" width="9.140625" style="119"/>
    <col min="2" max="2" width="27.7109375" style="119" customWidth="1"/>
    <col min="3" max="3" width="14.5703125" style="119" bestFit="1" customWidth="1"/>
    <col min="4" max="4" width="5.140625" style="119" bestFit="1" customWidth="1"/>
    <col min="5" max="7" width="7.7109375" style="119" customWidth="1"/>
    <col min="8" max="8" width="5.140625" style="119" bestFit="1" customWidth="1"/>
    <col min="9" max="10" width="3.28515625" style="119" customWidth="1"/>
    <col min="11" max="12" width="7.7109375" style="119" customWidth="1"/>
    <col min="13" max="13" width="2.7109375" style="119" customWidth="1"/>
    <col min="14" max="14" width="6.7109375" style="119" customWidth="1"/>
    <col min="15" max="15" width="5.140625" style="119" bestFit="1" customWidth="1"/>
    <col min="16" max="16" width="2.7109375" style="119" customWidth="1"/>
    <col min="17" max="17" width="9.140625" style="119"/>
    <col min="18" max="18" width="19" style="119" customWidth="1"/>
    <col min="19" max="19" width="10.5703125" style="119" bestFit="1" customWidth="1"/>
    <col min="20" max="16384" width="9.140625" style="119"/>
  </cols>
  <sheetData>
    <row r="1" spans="1:19" ht="16.5" thickBot="1" x14ac:dyDescent="0.3"/>
    <row r="2" spans="1:19" ht="17.25" thickTop="1" thickBot="1" x14ac:dyDescent="0.3">
      <c r="B2" s="140" t="s">
        <v>77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2"/>
      <c r="Q2" s="17"/>
      <c r="R2" s="18" t="s">
        <v>52</v>
      </c>
    </row>
    <row r="3" spans="1:19" ht="20.25" thickTop="1" thickBot="1" x14ac:dyDescent="0.3">
      <c r="B3" s="19"/>
      <c r="C3" s="19"/>
      <c r="S3" s="100"/>
    </row>
    <row r="4" spans="1:19" ht="24.95" customHeight="1" thickTop="1" thickBot="1" x14ac:dyDescent="0.3">
      <c r="A4" s="20"/>
      <c r="B4" s="101" t="s">
        <v>65</v>
      </c>
      <c r="C4" s="107" t="s">
        <v>0</v>
      </c>
      <c r="D4" s="143" t="s">
        <v>66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"/>
    </row>
    <row r="5" spans="1:19" ht="17.25" thickTop="1" thickBot="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</row>
    <row r="6" spans="1:19" ht="17.100000000000001" customHeight="1" thickTop="1" thickBot="1" x14ac:dyDescent="0.3">
      <c r="A6" s="20"/>
      <c r="P6" s="25"/>
    </row>
    <row r="7" spans="1:19" ht="17.100000000000001" customHeight="1" x14ac:dyDescent="0.25">
      <c r="A7" s="20"/>
      <c r="B7" s="144" t="str">
        <f>_xlfn.CONCAT("Matrix ","[",C4,"]")</f>
        <v>Matrix [A]</v>
      </c>
      <c r="C7" s="138" t="s">
        <v>2</v>
      </c>
      <c r="D7" s="139" t="s">
        <v>3</v>
      </c>
      <c r="E7" s="109">
        <v>11</v>
      </c>
      <c r="F7" s="109">
        <v>12</v>
      </c>
      <c r="G7" s="139" t="s">
        <v>4</v>
      </c>
      <c r="H7" s="163" t="s">
        <v>7</v>
      </c>
      <c r="I7" s="148" t="str">
        <f>_xlfn.CONCAT("Enter values for Matrix [",C4,"] here")</f>
        <v>Enter values for Matrix [A] here</v>
      </c>
      <c r="J7" s="149"/>
      <c r="K7" s="149"/>
      <c r="L7" s="149"/>
      <c r="M7" s="150"/>
      <c r="P7" s="20"/>
    </row>
    <row r="8" spans="1:19" ht="17.100000000000001" customHeight="1" x14ac:dyDescent="0.25">
      <c r="A8" s="20"/>
      <c r="B8" s="144"/>
      <c r="C8" s="138"/>
      <c r="D8" s="139"/>
      <c r="E8" s="111">
        <v>13</v>
      </c>
      <c r="F8" s="111">
        <v>14</v>
      </c>
      <c r="G8" s="139"/>
      <c r="H8" s="163"/>
      <c r="I8" s="158"/>
      <c r="J8" s="159"/>
      <c r="K8" s="159"/>
      <c r="L8" s="159"/>
      <c r="M8" s="160"/>
      <c r="P8" s="20"/>
    </row>
    <row r="9" spans="1:19" ht="17.100000000000001" customHeight="1" thickBot="1" x14ac:dyDescent="0.3">
      <c r="A9" s="20"/>
      <c r="B9" s="144"/>
      <c r="C9" s="138"/>
      <c r="D9" s="145"/>
      <c r="E9" s="110">
        <v>15</v>
      </c>
      <c r="F9" s="110">
        <v>16</v>
      </c>
      <c r="G9" s="145"/>
      <c r="H9" s="163"/>
      <c r="I9" s="151"/>
      <c r="J9" s="152"/>
      <c r="K9" s="152"/>
      <c r="L9" s="152"/>
      <c r="M9" s="153"/>
      <c r="P9" s="20"/>
    </row>
    <row r="10" spans="1:19" x14ac:dyDescent="0.25">
      <c r="A10" s="20"/>
      <c r="B10" s="121"/>
      <c r="E10" s="121"/>
      <c r="F10" s="121"/>
      <c r="G10" s="121"/>
      <c r="P10" s="20"/>
    </row>
    <row r="11" spans="1:19" ht="17.100000000000001" customHeight="1" x14ac:dyDescent="0.25">
      <c r="A11" s="20"/>
      <c r="B11" s="155" t="str">
        <f>_xlfn.CONCAT("Matrix ", "[", C4, "]", _xlfn.UNICHAR(7488))</f>
        <v>Matrix [A]ᵀ</v>
      </c>
      <c r="C11" s="138" t="s">
        <v>2</v>
      </c>
      <c r="D11" s="139" t="s">
        <v>3</v>
      </c>
      <c r="E11" s="83">
        <f t="array" ref="E11:G12">TRANSPOSE(E7:F9)</f>
        <v>11</v>
      </c>
      <c r="F11" s="85">
        <v>13</v>
      </c>
      <c r="G11" s="84">
        <v>15</v>
      </c>
      <c r="H11" s="139" t="s">
        <v>4</v>
      </c>
      <c r="I11" s="102"/>
      <c r="J11" s="102"/>
      <c r="K11" s="103"/>
      <c r="L11" s="103"/>
      <c r="M11" s="103"/>
      <c r="N11" s="103"/>
      <c r="O11" s="103"/>
      <c r="P11" s="20"/>
    </row>
    <row r="12" spans="1:19" ht="17.100000000000001" customHeight="1" x14ac:dyDescent="0.25">
      <c r="A12" s="20"/>
      <c r="B12" s="155"/>
      <c r="C12" s="138"/>
      <c r="D12" s="139"/>
      <c r="E12" s="83">
        <v>12</v>
      </c>
      <c r="F12" s="85">
        <v>14</v>
      </c>
      <c r="G12" s="84">
        <v>16</v>
      </c>
      <c r="H12" s="139"/>
      <c r="I12" s="102"/>
      <c r="J12" s="102"/>
      <c r="K12" s="103"/>
      <c r="L12" s="103"/>
      <c r="M12" s="103"/>
      <c r="N12" s="103"/>
      <c r="O12" s="103"/>
      <c r="P12" s="20"/>
    </row>
    <row r="13" spans="1:19" ht="17.100000000000001" customHeight="1" thickBot="1" x14ac:dyDescent="0.3">
      <c r="A13" s="20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36"/>
    </row>
    <row r="14" spans="1:19" ht="16.5" thickTop="1" x14ac:dyDescent="0.25"/>
  </sheetData>
  <sheetProtection algorithmName="SHA-512" hashValue="jcmGuL1dT/S0ldSBO4/FP1mFnnfe7ngR2fTH+rEFlnYZmIYv5baO9au+6OoQdUyMC1CkQmETuPdijr6f50JMyQ==" saltValue="xYQHg1KSiqVkgLsXaIoiqw==" spinCount="100000" sheet="1" objects="1" scenarios="1"/>
  <mergeCells count="12">
    <mergeCell ref="I7:M9"/>
    <mergeCell ref="B2:P2"/>
    <mergeCell ref="D4:P4"/>
    <mergeCell ref="B7:B9"/>
    <mergeCell ref="C7:C9"/>
    <mergeCell ref="D7:D9"/>
    <mergeCell ref="G7:G9"/>
    <mergeCell ref="B11:B12"/>
    <mergeCell ref="C11:C12"/>
    <mergeCell ref="D11:D12"/>
    <mergeCell ref="H11:H12"/>
    <mergeCell ref="H7:H9"/>
  </mergeCells>
  <hyperlinks>
    <hyperlink ref="R2" location="'Main Page'!A1" display="Go to TOC Sheet" xr:uid="{20A99734-DED9-42C7-A480-F9FA7125C874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28181-1608-428C-92D7-16ECEB336D21}">
  <sheetPr codeName="Sheet24"/>
  <dimension ref="A1:Q23"/>
  <sheetViews>
    <sheetView zoomScale="145" zoomScaleNormal="145" workbookViewId="0">
      <selection activeCell="Q2" sqref="Q2"/>
    </sheetView>
  </sheetViews>
  <sheetFormatPr defaultRowHeight="15.75" x14ac:dyDescent="0.25"/>
  <cols>
    <col min="1" max="1" width="3.710937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6" width="8.7109375" style="16" customWidth="1"/>
    <col min="7" max="7" width="5.140625" style="16" bestFit="1" customWidth="1"/>
    <col min="8" max="9" width="2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4.7109375" style="16" customWidth="1"/>
    <col min="17" max="17" width="19" style="16" customWidth="1"/>
    <col min="18" max="16384" width="9.140625" style="16"/>
  </cols>
  <sheetData>
    <row r="1" spans="1:17" ht="16.5" thickBot="1" x14ac:dyDescent="0.3"/>
    <row r="2" spans="1:17" ht="17.25" thickTop="1" thickBot="1" x14ac:dyDescent="0.3">
      <c r="A2" s="20"/>
      <c r="B2" s="141" t="s">
        <v>55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7"/>
      <c r="Q2" s="18" t="s">
        <v>52</v>
      </c>
    </row>
    <row r="3" spans="1:17" ht="17.25" thickTop="1" thickBot="1" x14ac:dyDescent="0.3">
      <c r="B3" s="19"/>
      <c r="C3" s="19"/>
    </row>
    <row r="4" spans="1:17" ht="24.95" customHeight="1" thickTop="1" x14ac:dyDescent="0.25">
      <c r="A4" s="20"/>
      <c r="B4" s="81" t="s">
        <v>5</v>
      </c>
      <c r="C4" s="107" t="s">
        <v>0</v>
      </c>
      <c r="D4" s="143" t="s">
        <v>56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"/>
    </row>
    <row r="5" spans="1:17" ht="24.95" customHeight="1" thickBot="1" x14ac:dyDescent="0.3">
      <c r="A5" s="20"/>
      <c r="B5" s="82" t="s">
        <v>6</v>
      </c>
      <c r="C5" s="108" t="s">
        <v>1</v>
      </c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7"/>
    </row>
    <row r="6" spans="1:17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7" ht="17.100000000000001" customHeight="1" thickTop="1" thickBot="1" x14ac:dyDescent="0.3">
      <c r="A7" s="20"/>
      <c r="O7" s="25"/>
    </row>
    <row r="8" spans="1:17" ht="17.100000000000001" customHeight="1" x14ac:dyDescent="0.25">
      <c r="A8" s="20"/>
      <c r="B8" s="172" t="str">
        <f>_xlfn.CONCAT("Matrix ","[",C4,"]")</f>
        <v>Matrix [A]</v>
      </c>
      <c r="C8" s="138" t="s">
        <v>2</v>
      </c>
      <c r="D8" s="139" t="s">
        <v>3</v>
      </c>
      <c r="E8" s="109">
        <v>1</v>
      </c>
      <c r="F8" s="110">
        <v>0</v>
      </c>
      <c r="G8" s="139" t="s">
        <v>4</v>
      </c>
      <c r="H8" s="146" t="s">
        <v>7</v>
      </c>
      <c r="I8" s="147"/>
      <c r="J8" s="166" t="str">
        <f>_xlfn.CONCAT("Enter values for Matrix [",C4,"] here")</f>
        <v>Enter values for Matrix [A] here</v>
      </c>
      <c r="K8" s="167"/>
      <c r="L8" s="167"/>
      <c r="M8" s="167"/>
      <c r="N8" s="168"/>
      <c r="O8" s="20"/>
    </row>
    <row r="9" spans="1:17" ht="17.100000000000001" customHeight="1" thickBot="1" x14ac:dyDescent="0.3">
      <c r="A9" s="20"/>
      <c r="B9" s="172"/>
      <c r="C9" s="138"/>
      <c r="D9" s="145"/>
      <c r="E9" s="111">
        <v>-1</v>
      </c>
      <c r="F9" s="112">
        <v>4</v>
      </c>
      <c r="G9" s="145"/>
      <c r="H9" s="146"/>
      <c r="I9" s="147"/>
      <c r="J9" s="169"/>
      <c r="K9" s="170"/>
      <c r="L9" s="170"/>
      <c r="M9" s="170"/>
      <c r="N9" s="171"/>
      <c r="O9" s="20"/>
    </row>
    <row r="10" spans="1:17" ht="17.100000000000001" customHeight="1" thickBot="1" x14ac:dyDescent="0.3">
      <c r="A10" s="20"/>
      <c r="B10" s="87"/>
      <c r="E10" s="87"/>
      <c r="F10" s="87"/>
      <c r="O10" s="20"/>
    </row>
    <row r="11" spans="1:17" ht="17.100000000000001" customHeight="1" x14ac:dyDescent="0.25">
      <c r="A11" s="20"/>
      <c r="B11" s="164" t="str">
        <f>_xlfn.CONCAT("Matrix ","[",C5,"]")</f>
        <v>Matrix [B]</v>
      </c>
      <c r="C11" s="138" t="s">
        <v>2</v>
      </c>
      <c r="D11" s="139" t="s">
        <v>3</v>
      </c>
      <c r="E11" s="109">
        <v>2</v>
      </c>
      <c r="F11" s="110">
        <v>0</v>
      </c>
      <c r="G11" s="139" t="s">
        <v>4</v>
      </c>
      <c r="H11" s="146" t="s">
        <v>7</v>
      </c>
      <c r="I11" s="147"/>
      <c r="J11" s="166" t="str">
        <f>_xlfn.CONCAT("Enter values for Matrix [",C5,"] here")</f>
        <v>Enter values for Matrix [B] here</v>
      </c>
      <c r="K11" s="167"/>
      <c r="L11" s="167"/>
      <c r="M11" s="167"/>
      <c r="N11" s="168"/>
      <c r="O11" s="20"/>
    </row>
    <row r="12" spans="1:17" ht="17.100000000000001" customHeight="1" thickBot="1" x14ac:dyDescent="0.3">
      <c r="A12" s="20"/>
      <c r="B12" s="164"/>
      <c r="C12" s="138"/>
      <c r="D12" s="145"/>
      <c r="E12" s="111">
        <v>-2</v>
      </c>
      <c r="F12" s="112">
        <v>8</v>
      </c>
      <c r="G12" s="145"/>
      <c r="H12" s="146"/>
      <c r="I12" s="147"/>
      <c r="J12" s="169"/>
      <c r="K12" s="170"/>
      <c r="L12" s="170"/>
      <c r="M12" s="170"/>
      <c r="N12" s="171"/>
      <c r="O12" s="20"/>
    </row>
    <row r="13" spans="1:17" ht="17.100000000000001" customHeight="1" x14ac:dyDescent="0.25">
      <c r="A13" s="20"/>
      <c r="B13" s="87"/>
      <c r="E13" s="87"/>
      <c r="F13" s="87"/>
      <c r="O13" s="20"/>
    </row>
    <row r="14" spans="1:17" ht="17.100000000000001" customHeight="1" x14ac:dyDescent="0.25">
      <c r="A14" s="20"/>
      <c r="B14" s="144" t="str">
        <f>_xlfn.CONCAT("Matrix ","[",C4,"]"," + ","[",C5,"]")</f>
        <v>Matrix [A] + [B]</v>
      </c>
      <c r="C14" s="138" t="s">
        <v>2</v>
      </c>
      <c r="D14" s="139" t="s">
        <v>3</v>
      </c>
      <c r="E14" s="83">
        <f>E8</f>
        <v>1</v>
      </c>
      <c r="F14" s="84">
        <f>F8</f>
        <v>0</v>
      </c>
      <c r="G14" s="139" t="s">
        <v>4</v>
      </c>
      <c r="H14" s="164" t="s">
        <v>57</v>
      </c>
      <c r="I14" s="139" t="s">
        <v>3</v>
      </c>
      <c r="J14" s="83">
        <f>E11</f>
        <v>2</v>
      </c>
      <c r="K14" s="84">
        <f>F11</f>
        <v>0</v>
      </c>
      <c r="L14" s="139" t="s">
        <v>4</v>
      </c>
      <c r="O14" s="20"/>
    </row>
    <row r="15" spans="1:17" ht="17.100000000000001" customHeight="1" x14ac:dyDescent="0.25">
      <c r="A15" s="20"/>
      <c r="B15" s="144"/>
      <c r="C15" s="138"/>
      <c r="D15" s="145"/>
      <c r="E15" s="85">
        <f>E9</f>
        <v>-1</v>
      </c>
      <c r="F15" s="86">
        <f>F9</f>
        <v>4</v>
      </c>
      <c r="G15" s="145"/>
      <c r="H15" s="164"/>
      <c r="I15" s="139"/>
      <c r="J15" s="85">
        <f>E12</f>
        <v>-2</v>
      </c>
      <c r="K15" s="86">
        <f>F12</f>
        <v>8</v>
      </c>
      <c r="L15" s="139"/>
      <c r="O15" s="20"/>
    </row>
    <row r="16" spans="1:17" ht="17.100000000000001" customHeight="1" x14ac:dyDescent="0.25">
      <c r="A16" s="20"/>
      <c r="B16" s="87"/>
      <c r="D16" s="88"/>
      <c r="E16" s="85"/>
      <c r="F16" s="86"/>
      <c r="G16" s="89"/>
      <c r="H16" s="87"/>
      <c r="I16" s="90"/>
      <c r="J16" s="85"/>
      <c r="K16" s="86"/>
      <c r="L16" s="91"/>
      <c r="O16" s="20"/>
    </row>
    <row r="17" spans="1:15" ht="17.100000000000001" customHeight="1" x14ac:dyDescent="0.25">
      <c r="A17" s="20"/>
      <c r="B17" s="144" t="str">
        <f>B14</f>
        <v>Matrix [A] + [B]</v>
      </c>
      <c r="C17" s="138" t="s">
        <v>2</v>
      </c>
      <c r="D17" s="139" t="s">
        <v>3</v>
      </c>
      <c r="E17" s="83" t="str">
        <f>_xlfn.CONCAT("(",E14,"+",J14,")")</f>
        <v>(1+2)</v>
      </c>
      <c r="F17" s="84" t="str">
        <f>_xlfn.CONCAT("(",F14,"+",K14,")")</f>
        <v>(0+0)</v>
      </c>
      <c r="G17" s="139" t="s">
        <v>4</v>
      </c>
      <c r="H17" s="87"/>
      <c r="I17" s="90"/>
      <c r="J17" s="85"/>
      <c r="K17" s="86"/>
      <c r="L17" s="91"/>
      <c r="O17" s="20"/>
    </row>
    <row r="18" spans="1:15" ht="17.100000000000001" customHeight="1" x14ac:dyDescent="0.25">
      <c r="A18" s="20"/>
      <c r="B18" s="144"/>
      <c r="C18" s="138"/>
      <c r="D18" s="145"/>
      <c r="E18" s="85" t="str">
        <f>_xlfn.CONCAT("(",E15,"+",J15,")")</f>
        <v>(-1+-2)</v>
      </c>
      <c r="F18" s="86" t="str">
        <f>_xlfn.CONCAT("(",F15,"+",K15,")")</f>
        <v>(4+8)</v>
      </c>
      <c r="G18" s="145"/>
      <c r="H18" s="87"/>
      <c r="I18" s="90"/>
      <c r="J18" s="85"/>
      <c r="K18" s="86"/>
      <c r="L18" s="91"/>
      <c r="O18" s="20"/>
    </row>
    <row r="19" spans="1:15" ht="17.100000000000001" customHeight="1" x14ac:dyDescent="0.25">
      <c r="A19" s="20"/>
      <c r="B19" s="87"/>
      <c r="E19" s="87"/>
      <c r="F19" s="87"/>
      <c r="O19" s="20"/>
    </row>
    <row r="20" spans="1:15" ht="17.100000000000001" customHeight="1" x14ac:dyDescent="0.25">
      <c r="A20" s="20"/>
      <c r="B20" s="165" t="str">
        <f>B14</f>
        <v>Matrix [A] + [B]</v>
      </c>
      <c r="C20" s="138" t="s">
        <v>2</v>
      </c>
      <c r="D20" s="139" t="s">
        <v>3</v>
      </c>
      <c r="E20" s="83">
        <f t="array" ref="E20:F21">E14:F15+J14:K15</f>
        <v>3</v>
      </c>
      <c r="F20" s="84">
        <v>0</v>
      </c>
      <c r="G20" s="139" t="s">
        <v>4</v>
      </c>
      <c r="H20" s="91"/>
      <c r="I20" s="91"/>
      <c r="O20" s="20"/>
    </row>
    <row r="21" spans="1:15" ht="17.100000000000001" customHeight="1" x14ac:dyDescent="0.25">
      <c r="A21" s="20"/>
      <c r="B21" s="165"/>
      <c r="C21" s="138"/>
      <c r="D21" s="145"/>
      <c r="E21" s="85">
        <v>-3</v>
      </c>
      <c r="F21" s="86">
        <v>12</v>
      </c>
      <c r="G21" s="145"/>
      <c r="H21" s="89"/>
      <c r="I21" s="89"/>
      <c r="O21" s="20"/>
    </row>
    <row r="22" spans="1:15" ht="17.100000000000001" customHeight="1" thickBot="1" x14ac:dyDescent="0.3">
      <c r="A22" s="20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36"/>
    </row>
    <row r="23" spans="1:15" ht="16.5" thickTop="1" x14ac:dyDescent="0.25"/>
  </sheetData>
  <sheetProtection algorithmName="SHA-512" hashValue="Hcc3IO9rAilGnh7dRZxEh0wxNGqZn6WnghIhOkMcFY84ycYqu1KC0BFu6pKETOyHkMcmwn+NVi6xGrlrx4cOOg==" saltValue="UepKua1/2wc4HNVuRYoWHQ==" spinCount="100000" sheet="1" objects="1" scenarios="1"/>
  <mergeCells count="29">
    <mergeCell ref="J11:N12"/>
    <mergeCell ref="B2:O2"/>
    <mergeCell ref="D4:O5"/>
    <mergeCell ref="B8:B9"/>
    <mergeCell ref="C8:C9"/>
    <mergeCell ref="D8:D9"/>
    <mergeCell ref="G8:G9"/>
    <mergeCell ref="H8:I9"/>
    <mergeCell ref="J8:N9"/>
    <mergeCell ref="B11:B12"/>
    <mergeCell ref="C11:C12"/>
    <mergeCell ref="D11:D12"/>
    <mergeCell ref="G11:G12"/>
    <mergeCell ref="H11:I12"/>
    <mergeCell ref="B20:B21"/>
    <mergeCell ref="C20:C21"/>
    <mergeCell ref="D20:D21"/>
    <mergeCell ref="G20:G21"/>
    <mergeCell ref="B14:B15"/>
    <mergeCell ref="C14:C15"/>
    <mergeCell ref="D14:D15"/>
    <mergeCell ref="G14:G15"/>
    <mergeCell ref="L14:L15"/>
    <mergeCell ref="B17:B18"/>
    <mergeCell ref="C17:C18"/>
    <mergeCell ref="D17:D18"/>
    <mergeCell ref="G17:G18"/>
    <mergeCell ref="H14:H15"/>
    <mergeCell ref="I14:I15"/>
  </mergeCells>
  <hyperlinks>
    <hyperlink ref="Q2" location="'Main Page'!A1" display="Go to TOC Sheet" xr:uid="{BBC00FBE-0D48-4C34-9314-256F3AF8F24E}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0350-5AC6-4368-8FA7-18F9D8645AA2}">
  <sheetPr codeName="Sheet25"/>
  <dimension ref="A1:Q23"/>
  <sheetViews>
    <sheetView zoomScale="145" zoomScaleNormal="145" workbookViewId="0">
      <selection activeCell="Q2" sqref="Q2"/>
    </sheetView>
  </sheetViews>
  <sheetFormatPr defaultRowHeight="15.75" x14ac:dyDescent="0.25"/>
  <cols>
    <col min="1" max="1" width="4.710937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6" width="7.7109375" style="16" customWidth="1"/>
    <col min="7" max="7" width="5.140625" style="16" bestFit="1" customWidth="1"/>
    <col min="8" max="8" width="2.7109375" style="16" customWidth="1"/>
    <col min="9" max="9" width="5.140625" style="16" bestFit="1" customWidth="1"/>
    <col min="10" max="11" width="7.7109375" style="16" customWidth="1"/>
    <col min="12" max="12" width="5.140625" style="16" bestFit="1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6384" width="9.140625" style="16"/>
  </cols>
  <sheetData>
    <row r="1" spans="1:17" ht="16.5" thickBot="1" x14ac:dyDescent="0.3"/>
    <row r="2" spans="1:17" ht="17.25" thickTop="1" thickBot="1" x14ac:dyDescent="0.3">
      <c r="B2" s="140" t="s">
        <v>58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Q2" s="18" t="s">
        <v>52</v>
      </c>
    </row>
    <row r="3" spans="1:17" ht="17.25" thickTop="1" thickBot="1" x14ac:dyDescent="0.3">
      <c r="B3" s="19"/>
      <c r="C3" s="19"/>
      <c r="O3" s="92"/>
    </row>
    <row r="4" spans="1:17" ht="24.95" customHeight="1" thickTop="1" x14ac:dyDescent="0.25">
      <c r="A4" s="20"/>
      <c r="B4" s="81" t="s">
        <v>5</v>
      </c>
      <c r="C4" s="107" t="s">
        <v>0</v>
      </c>
      <c r="D4" s="143" t="s">
        <v>59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74"/>
    </row>
    <row r="5" spans="1:17" ht="24.95" customHeight="1" thickBot="1" x14ac:dyDescent="0.3">
      <c r="B5" s="22" t="s">
        <v>6</v>
      </c>
      <c r="C5" s="108" t="s">
        <v>1</v>
      </c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6"/>
    </row>
    <row r="6" spans="1:17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</row>
    <row r="7" spans="1:17" ht="17.100000000000001" customHeight="1" thickTop="1" thickBot="1" x14ac:dyDescent="0.3">
      <c r="A7" s="20"/>
      <c r="O7" s="25"/>
    </row>
    <row r="8" spans="1:17" ht="17.100000000000001" customHeight="1" x14ac:dyDescent="0.25">
      <c r="A8" s="20"/>
      <c r="B8" s="144" t="str">
        <f>_xlfn.CONCAT("Matrix ","[",C4,"]")</f>
        <v>Matrix [A]</v>
      </c>
      <c r="C8" s="138" t="s">
        <v>2</v>
      </c>
      <c r="D8" s="139" t="s">
        <v>3</v>
      </c>
      <c r="E8" s="109">
        <v>1</v>
      </c>
      <c r="F8" s="110">
        <v>2</v>
      </c>
      <c r="G8" s="139" t="s">
        <v>4</v>
      </c>
      <c r="H8" s="146" t="s">
        <v>7</v>
      </c>
      <c r="I8" s="147"/>
      <c r="J8" s="166" t="str">
        <f>_xlfn.CONCAT("Enter values for Matrix [",C4,"] here")</f>
        <v>Enter values for Matrix [A] here</v>
      </c>
      <c r="K8" s="167"/>
      <c r="L8" s="167"/>
      <c r="M8" s="167"/>
      <c r="N8" s="168"/>
      <c r="O8" s="20"/>
    </row>
    <row r="9" spans="1:17" ht="17.100000000000001" customHeight="1" thickBot="1" x14ac:dyDescent="0.3">
      <c r="A9" s="20"/>
      <c r="B9" s="144"/>
      <c r="C9" s="138"/>
      <c r="D9" s="145"/>
      <c r="E9" s="111">
        <v>3</v>
      </c>
      <c r="F9" s="112">
        <v>4</v>
      </c>
      <c r="G9" s="145"/>
      <c r="H9" s="146"/>
      <c r="I9" s="147"/>
      <c r="J9" s="169"/>
      <c r="K9" s="170"/>
      <c r="L9" s="170"/>
      <c r="M9" s="170"/>
      <c r="N9" s="171"/>
      <c r="O9" s="20"/>
    </row>
    <row r="10" spans="1:17" ht="17.100000000000001" customHeight="1" thickBot="1" x14ac:dyDescent="0.3">
      <c r="A10" s="20"/>
      <c r="B10" s="87"/>
      <c r="E10" s="87"/>
      <c r="F10" s="87"/>
      <c r="O10" s="20"/>
    </row>
    <row r="11" spans="1:17" ht="17.100000000000001" customHeight="1" x14ac:dyDescent="0.25">
      <c r="A11" s="20"/>
      <c r="B11" s="144" t="str">
        <f>_xlfn.CONCAT("Matrix ","[",C5,"]")</f>
        <v>Matrix [B]</v>
      </c>
      <c r="C11" s="138" t="s">
        <v>2</v>
      </c>
      <c r="D11" s="139" t="s">
        <v>3</v>
      </c>
      <c r="E11" s="109">
        <v>1</v>
      </c>
      <c r="F11" s="110">
        <v>2</v>
      </c>
      <c r="G11" s="139" t="s">
        <v>4</v>
      </c>
      <c r="H11" s="146" t="s">
        <v>7</v>
      </c>
      <c r="I11" s="147"/>
      <c r="J11" s="166" t="str">
        <f>_xlfn.CONCAT("Enter values for Matrix [",C5,"] here")</f>
        <v>Enter values for Matrix [B] here</v>
      </c>
      <c r="K11" s="167"/>
      <c r="L11" s="167"/>
      <c r="M11" s="167"/>
      <c r="N11" s="168"/>
      <c r="O11" s="20"/>
    </row>
    <row r="12" spans="1:17" ht="17.100000000000001" customHeight="1" thickBot="1" x14ac:dyDescent="0.3">
      <c r="A12" s="20"/>
      <c r="B12" s="144"/>
      <c r="C12" s="138"/>
      <c r="D12" s="145"/>
      <c r="E12" s="111">
        <v>3</v>
      </c>
      <c r="F12" s="112">
        <v>4</v>
      </c>
      <c r="G12" s="145"/>
      <c r="H12" s="146"/>
      <c r="I12" s="147"/>
      <c r="J12" s="169"/>
      <c r="K12" s="170"/>
      <c r="L12" s="170"/>
      <c r="M12" s="170"/>
      <c r="N12" s="171"/>
      <c r="O12" s="20"/>
    </row>
    <row r="13" spans="1:17" ht="17.100000000000001" customHeight="1" x14ac:dyDescent="0.25">
      <c r="A13" s="20"/>
      <c r="B13" s="87"/>
      <c r="E13" s="87"/>
      <c r="F13" s="87"/>
      <c r="O13" s="20"/>
    </row>
    <row r="14" spans="1:17" ht="17.100000000000001" customHeight="1" x14ac:dyDescent="0.25">
      <c r="A14" s="20"/>
      <c r="B14" s="144" t="str">
        <f>_xlfn.CONCAT("Matrix ","[",C4,"] ",_xlfn.UNICHAR(8722)," [",C5,"]")</f>
        <v>Matrix [A] − [B]</v>
      </c>
      <c r="C14" s="138" t="s">
        <v>2</v>
      </c>
      <c r="D14" s="139" t="s">
        <v>3</v>
      </c>
      <c r="E14" s="83">
        <f>E8</f>
        <v>1</v>
      </c>
      <c r="F14" s="84">
        <f>F8</f>
        <v>2</v>
      </c>
      <c r="G14" s="139" t="s">
        <v>4</v>
      </c>
      <c r="H14" s="173" t="s">
        <v>60</v>
      </c>
      <c r="I14" s="139" t="s">
        <v>3</v>
      </c>
      <c r="J14" s="83">
        <f>E11</f>
        <v>1</v>
      </c>
      <c r="K14" s="84">
        <f>F11</f>
        <v>2</v>
      </c>
      <c r="L14" s="139" t="s">
        <v>4</v>
      </c>
      <c r="O14" s="20"/>
    </row>
    <row r="15" spans="1:17" ht="17.100000000000001" customHeight="1" x14ac:dyDescent="0.25">
      <c r="A15" s="20"/>
      <c r="B15" s="144"/>
      <c r="C15" s="138"/>
      <c r="D15" s="145"/>
      <c r="E15" s="85">
        <f>E9</f>
        <v>3</v>
      </c>
      <c r="F15" s="86">
        <f>F9</f>
        <v>4</v>
      </c>
      <c r="G15" s="145"/>
      <c r="H15" s="138"/>
      <c r="I15" s="139"/>
      <c r="J15" s="85">
        <f>E12</f>
        <v>3</v>
      </c>
      <c r="K15" s="86">
        <f>F12</f>
        <v>4</v>
      </c>
      <c r="L15" s="139"/>
      <c r="O15" s="20"/>
    </row>
    <row r="16" spans="1:17" ht="17.100000000000001" customHeight="1" x14ac:dyDescent="0.25">
      <c r="A16" s="20"/>
      <c r="B16" s="87"/>
      <c r="D16" s="88"/>
      <c r="E16" s="85"/>
      <c r="F16" s="86"/>
      <c r="G16" s="89"/>
      <c r="I16" s="90"/>
      <c r="J16" s="85"/>
      <c r="K16" s="86"/>
      <c r="L16" s="91"/>
      <c r="O16" s="20"/>
    </row>
    <row r="17" spans="1:15" ht="17.100000000000001" customHeight="1" x14ac:dyDescent="0.25">
      <c r="A17" s="20"/>
      <c r="B17" s="144" t="str">
        <f>B14</f>
        <v>Matrix [A] − [B]</v>
      </c>
      <c r="C17" s="138" t="s">
        <v>2</v>
      </c>
      <c r="D17" s="139" t="s">
        <v>3</v>
      </c>
      <c r="E17" s="83" t="str">
        <f>_xlfn.CONCAT("(",E14,_xlfn.UNICHAR(8722),J14,")")</f>
        <v>(1−1)</v>
      </c>
      <c r="F17" s="84" t="str">
        <f>_xlfn.CONCAT("(",F14,_xlfn.UNICHAR(8722),K14,")")</f>
        <v>(2−2)</v>
      </c>
      <c r="G17" s="139" t="s">
        <v>4</v>
      </c>
      <c r="I17" s="90"/>
      <c r="J17" s="85"/>
      <c r="K17" s="86"/>
      <c r="L17" s="91"/>
      <c r="O17" s="20"/>
    </row>
    <row r="18" spans="1:15" ht="17.100000000000001" customHeight="1" x14ac:dyDescent="0.25">
      <c r="A18" s="20"/>
      <c r="B18" s="144"/>
      <c r="C18" s="138"/>
      <c r="D18" s="145"/>
      <c r="E18" s="85" t="str">
        <f>_xlfn.CONCAT("(",E15,_xlfn.UNICHAR(8722),J15,")")</f>
        <v>(3−3)</v>
      </c>
      <c r="F18" s="86" t="str">
        <f>_xlfn.CONCAT("(",F15,_xlfn.UNICHAR(8722),K15,")")</f>
        <v>(4−4)</v>
      </c>
      <c r="G18" s="145"/>
      <c r="I18" s="90"/>
      <c r="J18" s="85"/>
      <c r="K18" s="86"/>
      <c r="L18" s="91"/>
      <c r="O18" s="20"/>
    </row>
    <row r="19" spans="1:15" ht="17.100000000000001" customHeight="1" x14ac:dyDescent="0.25">
      <c r="A19" s="20"/>
      <c r="B19" s="87"/>
      <c r="E19" s="87"/>
      <c r="F19" s="87"/>
      <c r="O19" s="20"/>
    </row>
    <row r="20" spans="1:15" ht="17.100000000000001" customHeight="1" x14ac:dyDescent="0.25">
      <c r="A20" s="20"/>
      <c r="B20" s="165" t="str">
        <f>B14</f>
        <v>Matrix [A] − [B]</v>
      </c>
      <c r="C20" s="138" t="s">
        <v>2</v>
      </c>
      <c r="D20" s="139" t="s">
        <v>3</v>
      </c>
      <c r="E20" s="83">
        <f t="array" ref="E20:F21">E14:F15-J14:K15</f>
        <v>0</v>
      </c>
      <c r="F20" s="84">
        <v>0</v>
      </c>
      <c r="G20" s="139" t="s">
        <v>4</v>
      </c>
      <c r="H20" s="91"/>
      <c r="I20" s="91"/>
      <c r="O20" s="20"/>
    </row>
    <row r="21" spans="1:15" ht="17.100000000000001" customHeight="1" x14ac:dyDescent="0.25">
      <c r="A21" s="20"/>
      <c r="B21" s="165"/>
      <c r="C21" s="138"/>
      <c r="D21" s="145"/>
      <c r="E21" s="85">
        <v>0</v>
      </c>
      <c r="F21" s="86">
        <v>0</v>
      </c>
      <c r="G21" s="145"/>
      <c r="H21" s="89"/>
      <c r="I21" s="89"/>
      <c r="O21" s="20"/>
    </row>
    <row r="22" spans="1:15" ht="17.100000000000001" customHeight="1" thickBot="1" x14ac:dyDescent="0.3">
      <c r="A22" s="20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36"/>
    </row>
    <row r="23" spans="1:15" ht="16.5" thickTop="1" x14ac:dyDescent="0.25"/>
  </sheetData>
  <sheetProtection algorithmName="SHA-512" hashValue="Dfm3HYmaQ6b0HP1/4YGsUp2H5TFxoInx2uSFJQscoE97ZjcZAROgMQygdbqhSBd0wqnwnE2YeSOcdjQfdJrX+g==" saltValue="kt02XCfz/FOUezQt+0Dc9w==" spinCount="100000" sheet="1" objects="1" scenarios="1"/>
  <mergeCells count="29">
    <mergeCell ref="J11:N12"/>
    <mergeCell ref="B2:O2"/>
    <mergeCell ref="D4:O5"/>
    <mergeCell ref="B8:B9"/>
    <mergeCell ref="C8:C9"/>
    <mergeCell ref="D8:D9"/>
    <mergeCell ref="G8:G9"/>
    <mergeCell ref="H8:I9"/>
    <mergeCell ref="J8:N9"/>
    <mergeCell ref="B11:B12"/>
    <mergeCell ref="C11:C12"/>
    <mergeCell ref="D11:D12"/>
    <mergeCell ref="G11:G12"/>
    <mergeCell ref="H11:I12"/>
    <mergeCell ref="B20:B21"/>
    <mergeCell ref="C20:C21"/>
    <mergeCell ref="D20:D21"/>
    <mergeCell ref="G20:G21"/>
    <mergeCell ref="B14:B15"/>
    <mergeCell ref="C14:C15"/>
    <mergeCell ref="D14:D15"/>
    <mergeCell ref="G14:G15"/>
    <mergeCell ref="L14:L15"/>
    <mergeCell ref="B17:B18"/>
    <mergeCell ref="C17:C18"/>
    <mergeCell ref="D17:D18"/>
    <mergeCell ref="G17:G18"/>
    <mergeCell ref="H14:H15"/>
    <mergeCell ref="I14:I15"/>
  </mergeCells>
  <hyperlinks>
    <hyperlink ref="Q2" location="'Main Page'!A1" display="Go to TOC Sheet" xr:uid="{F8BD94EA-AD67-450C-9A48-D67E56E442AA}"/>
  </hyperlinks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B9D02-58EA-45B5-B154-206185152004}">
  <sheetPr codeName="Sheet26"/>
  <dimension ref="A1:S28"/>
  <sheetViews>
    <sheetView zoomScale="115" zoomScaleNormal="115" workbookViewId="0">
      <selection activeCell="S2" sqref="S2"/>
    </sheetView>
  </sheetViews>
  <sheetFormatPr defaultRowHeight="15.75" x14ac:dyDescent="0.25"/>
  <cols>
    <col min="1" max="1" width="3.4257812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7" width="7.7109375" style="16" customWidth="1"/>
    <col min="8" max="8" width="5.140625" style="16" bestFit="1" customWidth="1"/>
    <col min="9" max="10" width="5.140625" style="16" customWidth="1"/>
    <col min="11" max="13" width="5.7109375" style="16" customWidth="1"/>
    <col min="14" max="14" width="5.140625" style="16" bestFit="1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/>
    <row r="2" spans="1:19" ht="17.25" thickTop="1" thickBot="1" x14ac:dyDescent="0.3">
      <c r="B2" s="140" t="s">
        <v>61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R2" s="17"/>
      <c r="S2" s="18" t="s">
        <v>52</v>
      </c>
    </row>
    <row r="3" spans="1:19" ht="17.25" thickTop="1" thickBot="1" x14ac:dyDescent="0.3">
      <c r="B3" s="19"/>
      <c r="C3" s="19"/>
    </row>
    <row r="4" spans="1:19" ht="24.95" customHeight="1" thickTop="1" x14ac:dyDescent="0.25">
      <c r="A4" s="20"/>
      <c r="B4" s="93" t="s">
        <v>5</v>
      </c>
      <c r="C4" s="107" t="s">
        <v>0</v>
      </c>
      <c r="D4" s="177" t="s">
        <v>56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20"/>
      <c r="B5" s="94" t="s">
        <v>6</v>
      </c>
      <c r="C5" s="108" t="s">
        <v>1</v>
      </c>
      <c r="D5" s="178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6"/>
    </row>
    <row r="6" spans="1:19" ht="17.25" thickTop="1" thickBot="1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Q7" s="25"/>
    </row>
    <row r="8" spans="1:19" ht="17.100000000000001" customHeight="1" x14ac:dyDescent="0.25">
      <c r="A8" s="20"/>
      <c r="B8" s="144" t="str">
        <f>_xlfn.CONCAT("Matrix ","[",C4,"]")</f>
        <v>Matrix [A]</v>
      </c>
      <c r="C8" s="138" t="s">
        <v>2</v>
      </c>
      <c r="D8" s="139" t="s">
        <v>3</v>
      </c>
      <c r="E8" s="113">
        <v>1</v>
      </c>
      <c r="F8" s="109">
        <v>2</v>
      </c>
      <c r="G8" s="112">
        <v>3</v>
      </c>
      <c r="H8" s="139" t="s">
        <v>4</v>
      </c>
      <c r="I8" s="157" t="s">
        <v>7</v>
      </c>
      <c r="J8" s="161"/>
      <c r="K8" s="148" t="str">
        <f>_xlfn.CONCAT("Enter values for Matrix [",C4,"] here")</f>
        <v>Enter values for Matrix [A] here</v>
      </c>
      <c r="L8" s="149"/>
      <c r="M8" s="149"/>
      <c r="N8" s="149"/>
      <c r="O8" s="149"/>
      <c r="P8" s="150"/>
      <c r="Q8" s="20"/>
    </row>
    <row r="9" spans="1:19" ht="17.100000000000001" customHeight="1" x14ac:dyDescent="0.25">
      <c r="A9" s="20"/>
      <c r="B9" s="144"/>
      <c r="C9" s="138"/>
      <c r="D9" s="139"/>
      <c r="E9" s="114">
        <v>4</v>
      </c>
      <c r="F9" s="110">
        <v>5</v>
      </c>
      <c r="G9" s="111">
        <v>6</v>
      </c>
      <c r="H9" s="139"/>
      <c r="I9" s="157"/>
      <c r="J9" s="161"/>
      <c r="K9" s="158"/>
      <c r="L9" s="162"/>
      <c r="M9" s="162"/>
      <c r="N9" s="162"/>
      <c r="O9" s="162"/>
      <c r="P9" s="160"/>
      <c r="Q9" s="20"/>
    </row>
    <row r="10" spans="1:19" ht="17.100000000000001" customHeight="1" thickBot="1" x14ac:dyDescent="0.3">
      <c r="A10" s="20"/>
      <c r="B10" s="144"/>
      <c r="C10" s="138"/>
      <c r="D10" s="145"/>
      <c r="E10" s="115">
        <v>7</v>
      </c>
      <c r="F10" s="116">
        <v>8</v>
      </c>
      <c r="G10" s="117">
        <v>9</v>
      </c>
      <c r="H10" s="145"/>
      <c r="I10" s="157"/>
      <c r="J10" s="161"/>
      <c r="K10" s="151"/>
      <c r="L10" s="152"/>
      <c r="M10" s="152"/>
      <c r="N10" s="152"/>
      <c r="O10" s="152"/>
      <c r="P10" s="153"/>
      <c r="Q10" s="20"/>
    </row>
    <row r="11" spans="1:19" ht="17.100000000000001" customHeight="1" thickBot="1" x14ac:dyDescent="0.3">
      <c r="A11" s="20"/>
      <c r="E11" s="87"/>
      <c r="Q11" s="20"/>
    </row>
    <row r="12" spans="1:19" ht="17.100000000000001" customHeight="1" x14ac:dyDescent="0.25">
      <c r="A12" s="20"/>
      <c r="B12" s="144" t="str">
        <f>_xlfn.CONCAT("Matrix ","[",C5,"]")</f>
        <v>Matrix [B]</v>
      </c>
      <c r="C12" s="138" t="s">
        <v>2</v>
      </c>
      <c r="D12" s="139" t="s">
        <v>3</v>
      </c>
      <c r="E12" s="113">
        <v>10</v>
      </c>
      <c r="F12" s="109">
        <v>11</v>
      </c>
      <c r="G12" s="112">
        <v>12</v>
      </c>
      <c r="H12" s="139" t="s">
        <v>4</v>
      </c>
      <c r="I12" s="157" t="s">
        <v>7</v>
      </c>
      <c r="J12" s="161"/>
      <c r="K12" s="148" t="str">
        <f>_xlfn.CONCAT("Enter values for Matrix [",C5,"] here")</f>
        <v>Enter values for Matrix [B] here</v>
      </c>
      <c r="L12" s="149"/>
      <c r="M12" s="149"/>
      <c r="N12" s="149"/>
      <c r="O12" s="149"/>
      <c r="P12" s="150"/>
      <c r="Q12" s="20"/>
    </row>
    <row r="13" spans="1:19" ht="17.100000000000001" customHeight="1" x14ac:dyDescent="0.25">
      <c r="A13" s="20"/>
      <c r="B13" s="144"/>
      <c r="C13" s="138"/>
      <c r="D13" s="139"/>
      <c r="E13" s="114">
        <v>13</v>
      </c>
      <c r="F13" s="110">
        <v>14</v>
      </c>
      <c r="G13" s="111">
        <v>15</v>
      </c>
      <c r="H13" s="139"/>
      <c r="I13" s="157"/>
      <c r="J13" s="161"/>
      <c r="K13" s="158"/>
      <c r="L13" s="162"/>
      <c r="M13" s="162"/>
      <c r="N13" s="162"/>
      <c r="O13" s="162"/>
      <c r="P13" s="160"/>
      <c r="Q13" s="20"/>
    </row>
    <row r="14" spans="1:19" ht="17.100000000000001" customHeight="1" thickBot="1" x14ac:dyDescent="0.3">
      <c r="A14" s="20"/>
      <c r="D14" s="145"/>
      <c r="E14" s="115">
        <v>16</v>
      </c>
      <c r="F14" s="116">
        <v>17</v>
      </c>
      <c r="G14" s="117">
        <v>18</v>
      </c>
      <c r="H14" s="145"/>
      <c r="I14" s="157"/>
      <c r="J14" s="161"/>
      <c r="K14" s="151"/>
      <c r="L14" s="152"/>
      <c r="M14" s="152"/>
      <c r="N14" s="152"/>
      <c r="O14" s="152"/>
      <c r="P14" s="153"/>
      <c r="Q14" s="20"/>
    </row>
    <row r="15" spans="1:19" ht="17.100000000000001" customHeight="1" x14ac:dyDescent="0.25">
      <c r="A15" s="20"/>
      <c r="E15" s="87"/>
      <c r="F15" s="97"/>
      <c r="G15" s="98"/>
      <c r="Q15" s="20"/>
    </row>
    <row r="16" spans="1:19" ht="17.100000000000001" customHeight="1" x14ac:dyDescent="0.25">
      <c r="A16" s="20"/>
      <c r="B16" s="144" t="str">
        <f>_xlfn.CONCAT("Matrix ","[",C4,"]"," + ","[",C5,"]")</f>
        <v>Matrix [A] + [B]</v>
      </c>
      <c r="C16" s="138" t="s">
        <v>2</v>
      </c>
      <c r="D16" s="139" t="s">
        <v>3</v>
      </c>
      <c r="E16" s="95">
        <f>E8</f>
        <v>1</v>
      </c>
      <c r="F16" s="83">
        <f t="shared" ref="F16:G16" si="0">F8</f>
        <v>2</v>
      </c>
      <c r="G16" s="86">
        <f t="shared" si="0"/>
        <v>3</v>
      </c>
      <c r="H16" s="139" t="s">
        <v>4</v>
      </c>
      <c r="I16" s="138" t="s">
        <v>57</v>
      </c>
      <c r="J16" s="139" t="s">
        <v>3</v>
      </c>
      <c r="K16" s="95">
        <f>E12</f>
        <v>10</v>
      </c>
      <c r="L16" s="83">
        <f t="shared" ref="L16:M18" si="1">F12</f>
        <v>11</v>
      </c>
      <c r="M16" s="86">
        <f t="shared" si="1"/>
        <v>12</v>
      </c>
      <c r="N16" s="139" t="s">
        <v>4</v>
      </c>
      <c r="Q16" s="20"/>
    </row>
    <row r="17" spans="1:17" ht="17.100000000000001" customHeight="1" x14ac:dyDescent="0.25">
      <c r="A17" s="20"/>
      <c r="B17" s="144"/>
      <c r="C17" s="138"/>
      <c r="D17" s="139"/>
      <c r="E17" s="96">
        <f t="shared" ref="E17:G18" si="2">E9</f>
        <v>4</v>
      </c>
      <c r="F17" s="84">
        <f t="shared" si="2"/>
        <v>5</v>
      </c>
      <c r="G17" s="85">
        <f t="shared" si="2"/>
        <v>6</v>
      </c>
      <c r="H17" s="139"/>
      <c r="I17" s="138"/>
      <c r="J17" s="139"/>
      <c r="K17" s="96">
        <f t="shared" ref="K17:K18" si="3">E13</f>
        <v>13</v>
      </c>
      <c r="L17" s="84">
        <f t="shared" si="1"/>
        <v>14</v>
      </c>
      <c r="M17" s="85">
        <f t="shared" si="1"/>
        <v>15</v>
      </c>
      <c r="N17" s="139"/>
      <c r="Q17" s="20"/>
    </row>
    <row r="18" spans="1:17" ht="17.100000000000001" customHeight="1" x14ac:dyDescent="0.25">
      <c r="A18" s="20"/>
      <c r="B18" s="144"/>
      <c r="C18" s="138"/>
      <c r="D18" s="145"/>
      <c r="E18" s="87">
        <f t="shared" si="2"/>
        <v>7</v>
      </c>
      <c r="F18" s="97">
        <f t="shared" si="2"/>
        <v>8</v>
      </c>
      <c r="G18" s="98">
        <f t="shared" si="2"/>
        <v>9</v>
      </c>
      <c r="H18" s="145"/>
      <c r="I18" s="138"/>
      <c r="J18" s="139"/>
      <c r="K18" s="87">
        <f t="shared" si="3"/>
        <v>16</v>
      </c>
      <c r="L18" s="97">
        <f t="shared" si="1"/>
        <v>17</v>
      </c>
      <c r="M18" s="98">
        <f t="shared" si="1"/>
        <v>18</v>
      </c>
      <c r="N18" s="139"/>
      <c r="Q18" s="20"/>
    </row>
    <row r="19" spans="1:17" ht="17.100000000000001" customHeight="1" x14ac:dyDescent="0.25">
      <c r="A19" s="20"/>
      <c r="Q19" s="20"/>
    </row>
    <row r="20" spans="1:17" ht="17.100000000000001" customHeight="1" x14ac:dyDescent="0.25">
      <c r="A20" s="20"/>
      <c r="B20" s="144" t="str">
        <f>B16</f>
        <v>Matrix [A] + [B]</v>
      </c>
      <c r="C20" s="138" t="s">
        <v>2</v>
      </c>
      <c r="D20" s="139" t="s">
        <v>3</v>
      </c>
      <c r="E20" s="95" t="str">
        <f>_xlfn.CONCAT("(",E16,"+",K16,")")</f>
        <v>(1+10)</v>
      </c>
      <c r="F20" s="83" t="str">
        <f t="shared" ref="F20:G22" si="4">_xlfn.CONCAT("(",F16,"+",L16,")")</f>
        <v>(2+11)</v>
      </c>
      <c r="G20" s="86" t="str">
        <f t="shared" si="4"/>
        <v>(3+12)</v>
      </c>
      <c r="H20" s="139" t="s">
        <v>4</v>
      </c>
      <c r="I20" s="53"/>
      <c r="J20" s="99"/>
      <c r="K20" s="95"/>
      <c r="L20" s="95"/>
      <c r="M20" s="95"/>
      <c r="N20" s="99"/>
      <c r="Q20" s="20"/>
    </row>
    <row r="21" spans="1:17" ht="17.100000000000001" customHeight="1" x14ac:dyDescent="0.25">
      <c r="A21" s="20"/>
      <c r="B21" s="144"/>
      <c r="C21" s="138"/>
      <c r="D21" s="139"/>
      <c r="E21" s="96" t="str">
        <f t="shared" ref="E21:E22" si="5">_xlfn.CONCAT("(",E17,"+",K17,")")</f>
        <v>(4+13)</v>
      </c>
      <c r="F21" s="84" t="str">
        <f t="shared" si="4"/>
        <v>(5+14)</v>
      </c>
      <c r="G21" s="85" t="str">
        <f t="shared" si="4"/>
        <v>(6+15)</v>
      </c>
      <c r="H21" s="139"/>
      <c r="I21" s="53"/>
      <c r="J21" s="99"/>
      <c r="K21" s="95"/>
      <c r="L21" s="95"/>
      <c r="M21" s="95"/>
      <c r="N21" s="99"/>
      <c r="Q21" s="20"/>
    </row>
    <row r="22" spans="1:17" ht="17.100000000000001" customHeight="1" x14ac:dyDescent="0.25">
      <c r="A22" s="20"/>
      <c r="B22" s="144"/>
      <c r="C22" s="138"/>
      <c r="D22" s="145"/>
      <c r="E22" s="87" t="str">
        <f t="shared" si="5"/>
        <v>(7+16)</v>
      </c>
      <c r="F22" s="97" t="str">
        <f t="shared" si="4"/>
        <v>(8+17)</v>
      </c>
      <c r="G22" s="98" t="str">
        <f t="shared" si="4"/>
        <v>(9+18)</v>
      </c>
      <c r="H22" s="145"/>
      <c r="I22" s="53"/>
      <c r="J22" s="99"/>
      <c r="K22" s="95"/>
      <c r="L22" s="95"/>
      <c r="M22" s="95"/>
      <c r="N22" s="99"/>
      <c r="Q22" s="20"/>
    </row>
    <row r="23" spans="1:17" ht="17.100000000000001" customHeight="1" x14ac:dyDescent="0.25">
      <c r="A23" s="20"/>
      <c r="Q23" s="20"/>
    </row>
    <row r="24" spans="1:17" ht="17.100000000000001" customHeight="1" x14ac:dyDescent="0.25">
      <c r="A24" s="20"/>
      <c r="B24" s="165" t="str">
        <f>B16</f>
        <v>Matrix [A] + [B]</v>
      </c>
      <c r="C24" s="138" t="s">
        <v>2</v>
      </c>
      <c r="D24" s="139" t="s">
        <v>3</v>
      </c>
      <c r="E24" s="95">
        <f t="array" ref="E24:G26">E16:G18+K16:M18</f>
        <v>11</v>
      </c>
      <c r="F24" s="83">
        <v>13</v>
      </c>
      <c r="G24" s="86">
        <v>15</v>
      </c>
      <c r="H24" s="139" t="s">
        <v>4</v>
      </c>
      <c r="I24" s="91"/>
      <c r="J24" s="91"/>
      <c r="Q24" s="20"/>
    </row>
    <row r="25" spans="1:17" ht="17.100000000000001" customHeight="1" x14ac:dyDescent="0.25">
      <c r="A25" s="20"/>
      <c r="B25" s="165"/>
      <c r="C25" s="138"/>
      <c r="D25" s="139"/>
      <c r="E25" s="96">
        <v>17</v>
      </c>
      <c r="F25" s="84">
        <v>19</v>
      </c>
      <c r="G25" s="85">
        <v>21</v>
      </c>
      <c r="H25" s="139"/>
      <c r="I25" s="91"/>
      <c r="J25" s="91"/>
      <c r="Q25" s="20"/>
    </row>
    <row r="26" spans="1:17" ht="17.100000000000001" customHeight="1" x14ac:dyDescent="0.25">
      <c r="A26" s="20"/>
      <c r="B26" s="165"/>
      <c r="C26" s="138"/>
      <c r="D26" s="145"/>
      <c r="E26" s="87">
        <v>23</v>
      </c>
      <c r="F26" s="97">
        <v>25</v>
      </c>
      <c r="G26" s="98">
        <v>27</v>
      </c>
      <c r="H26" s="145"/>
      <c r="I26" s="89"/>
      <c r="J26" s="89"/>
      <c r="Q26" s="20"/>
    </row>
    <row r="27" spans="1:17" ht="17.100000000000001" customHeight="1" thickBot="1" x14ac:dyDescent="0.3">
      <c r="A27" s="20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36"/>
    </row>
    <row r="28" spans="1:17" ht="16.5" thickTop="1" x14ac:dyDescent="0.25"/>
  </sheetData>
  <sheetProtection algorithmName="SHA-512" hashValue="g4OHlOM5bXHL+tgJOhPTUMcP2iaf57bUsMcLBOAHdOoiurKR8a5SYU/lcfyFUgMX2d+0TQo+uN/PQTIlL9Wxkw==" saltValue="a9CAllCMdo6unCoRq258Hg==" spinCount="100000" sheet="1" objects="1" scenarios="1"/>
  <mergeCells count="29">
    <mergeCell ref="K12:P14"/>
    <mergeCell ref="B2:Q2"/>
    <mergeCell ref="D4:Q5"/>
    <mergeCell ref="B8:B10"/>
    <mergeCell ref="C8:C10"/>
    <mergeCell ref="D8:D10"/>
    <mergeCell ref="H8:H10"/>
    <mergeCell ref="I8:J10"/>
    <mergeCell ref="K8:P10"/>
    <mergeCell ref="B12:B13"/>
    <mergeCell ref="C12:C13"/>
    <mergeCell ref="D12:D14"/>
    <mergeCell ref="H12:H14"/>
    <mergeCell ref="I12:J14"/>
    <mergeCell ref="B24:B26"/>
    <mergeCell ref="C24:C26"/>
    <mergeCell ref="D24:D26"/>
    <mergeCell ref="H24:H26"/>
    <mergeCell ref="B16:B18"/>
    <mergeCell ref="C16:C18"/>
    <mergeCell ref="D16:D18"/>
    <mergeCell ref="H16:H18"/>
    <mergeCell ref="N16:N18"/>
    <mergeCell ref="B20:B22"/>
    <mergeCell ref="C20:C22"/>
    <mergeCell ref="D20:D22"/>
    <mergeCell ref="H20:H22"/>
    <mergeCell ref="I16:I18"/>
    <mergeCell ref="J16:J18"/>
  </mergeCells>
  <hyperlinks>
    <hyperlink ref="S2" location="'Main Page'!A1" display="Go to TOC Sheet" xr:uid="{96110216-C233-48EE-A20C-8435C49E4370}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B8C68-B0F4-4D44-AD25-3174BA3A88BF}">
  <sheetPr codeName="Sheet27"/>
  <dimension ref="A1:S28"/>
  <sheetViews>
    <sheetView zoomScale="115" zoomScaleNormal="115" workbookViewId="0">
      <selection activeCell="S2" sqref="S2"/>
    </sheetView>
  </sheetViews>
  <sheetFormatPr defaultRowHeight="15.75" x14ac:dyDescent="0.25"/>
  <cols>
    <col min="1" max="1" width="4.7109375" style="16" customWidth="1"/>
    <col min="2" max="2" width="27.7109375" style="16" customWidth="1"/>
    <col min="3" max="3" width="17.7109375" style="16" customWidth="1"/>
    <col min="4" max="4" width="5.140625" style="16" bestFit="1" customWidth="1"/>
    <col min="5" max="7" width="7.7109375" style="16" customWidth="1"/>
    <col min="8" max="8" width="5.140625" style="16" bestFit="1" customWidth="1"/>
    <col min="9" max="10" width="5.140625" style="16" customWidth="1"/>
    <col min="11" max="13" width="5.7109375" style="16" customWidth="1"/>
    <col min="14" max="14" width="5.140625" style="16" bestFit="1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/>
    <row r="2" spans="1:19" ht="17.25" thickTop="1" thickBot="1" x14ac:dyDescent="0.3">
      <c r="B2" s="140" t="s">
        <v>62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R2" s="17"/>
      <c r="S2" s="18" t="s">
        <v>52</v>
      </c>
    </row>
    <row r="3" spans="1:19" ht="17.25" thickTop="1" thickBot="1" x14ac:dyDescent="0.3">
      <c r="B3" s="19"/>
      <c r="C3" s="19"/>
    </row>
    <row r="4" spans="1:19" ht="24.95" customHeight="1" thickTop="1" x14ac:dyDescent="0.25">
      <c r="A4" s="20"/>
      <c r="B4" s="93" t="s">
        <v>5</v>
      </c>
      <c r="C4" s="107" t="s">
        <v>0</v>
      </c>
      <c r="D4" s="177" t="s">
        <v>59</v>
      </c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20"/>
      <c r="B5" s="94" t="s">
        <v>6</v>
      </c>
      <c r="C5" s="108" t="s">
        <v>1</v>
      </c>
      <c r="D5" s="178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6"/>
    </row>
    <row r="6" spans="1:19" ht="17.25" thickTop="1" thickBot="1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Q7" s="25"/>
    </row>
    <row r="8" spans="1:19" ht="17.100000000000001" customHeight="1" x14ac:dyDescent="0.25">
      <c r="A8" s="20"/>
      <c r="B8" s="144" t="str">
        <f>_xlfn.CONCAT("Matrix ","[",C4,"]")</f>
        <v>Matrix [A]</v>
      </c>
      <c r="C8" s="138" t="s">
        <v>2</v>
      </c>
      <c r="D8" s="139" t="s">
        <v>3</v>
      </c>
      <c r="E8" s="113">
        <v>1</v>
      </c>
      <c r="F8" s="109">
        <v>2</v>
      </c>
      <c r="G8" s="112">
        <v>3</v>
      </c>
      <c r="H8" s="139" t="s">
        <v>4</v>
      </c>
      <c r="I8" s="157" t="s">
        <v>7</v>
      </c>
      <c r="J8" s="161"/>
      <c r="K8" s="148" t="str">
        <f>_xlfn.CONCAT("Enter values for Matrix [",C4,"] here")</f>
        <v>Enter values for Matrix [A] here</v>
      </c>
      <c r="L8" s="149"/>
      <c r="M8" s="149"/>
      <c r="N8" s="149"/>
      <c r="O8" s="149"/>
      <c r="P8" s="150"/>
      <c r="Q8" s="20"/>
    </row>
    <row r="9" spans="1:19" ht="17.100000000000001" customHeight="1" x14ac:dyDescent="0.25">
      <c r="A9" s="20"/>
      <c r="B9" s="144"/>
      <c r="C9" s="138"/>
      <c r="D9" s="139"/>
      <c r="E9" s="114">
        <v>4</v>
      </c>
      <c r="F9" s="110">
        <v>5</v>
      </c>
      <c r="G9" s="111">
        <v>6</v>
      </c>
      <c r="H9" s="139"/>
      <c r="I9" s="157"/>
      <c r="J9" s="161"/>
      <c r="K9" s="158"/>
      <c r="L9" s="162"/>
      <c r="M9" s="162"/>
      <c r="N9" s="162"/>
      <c r="O9" s="162"/>
      <c r="P9" s="160"/>
      <c r="Q9" s="20"/>
    </row>
    <row r="10" spans="1:19" ht="17.100000000000001" customHeight="1" thickBot="1" x14ac:dyDescent="0.3">
      <c r="A10" s="20"/>
      <c r="B10" s="144"/>
      <c r="C10" s="138"/>
      <c r="D10" s="145"/>
      <c r="E10" s="115">
        <v>7</v>
      </c>
      <c r="F10" s="116">
        <v>8</v>
      </c>
      <c r="G10" s="117">
        <v>9</v>
      </c>
      <c r="H10" s="145"/>
      <c r="I10" s="157"/>
      <c r="J10" s="161"/>
      <c r="K10" s="151"/>
      <c r="L10" s="152"/>
      <c r="M10" s="152"/>
      <c r="N10" s="152"/>
      <c r="O10" s="152"/>
      <c r="P10" s="153"/>
      <c r="Q10" s="20"/>
    </row>
    <row r="11" spans="1:19" ht="17.100000000000001" customHeight="1" thickBot="1" x14ac:dyDescent="0.3">
      <c r="A11" s="20"/>
      <c r="E11" s="87"/>
      <c r="Q11" s="20"/>
    </row>
    <row r="12" spans="1:19" ht="17.100000000000001" customHeight="1" x14ac:dyDescent="0.25">
      <c r="A12" s="20"/>
      <c r="B12" s="144" t="str">
        <f>_xlfn.CONCAT("Matrix ","[",C5,"]")</f>
        <v>Matrix [B]</v>
      </c>
      <c r="C12" s="138" t="s">
        <v>2</v>
      </c>
      <c r="D12" s="139" t="s">
        <v>3</v>
      </c>
      <c r="E12" s="113">
        <v>1</v>
      </c>
      <c r="F12" s="109">
        <v>2</v>
      </c>
      <c r="G12" s="112">
        <v>3</v>
      </c>
      <c r="H12" s="139" t="s">
        <v>4</v>
      </c>
      <c r="I12" s="157" t="s">
        <v>7</v>
      </c>
      <c r="J12" s="161"/>
      <c r="K12" s="148" t="str">
        <f>_xlfn.CONCAT("Enter values for Matrix [",C5,"] here")</f>
        <v>Enter values for Matrix [B] here</v>
      </c>
      <c r="L12" s="149"/>
      <c r="M12" s="149"/>
      <c r="N12" s="149"/>
      <c r="O12" s="149"/>
      <c r="P12" s="150"/>
      <c r="Q12" s="20"/>
    </row>
    <row r="13" spans="1:19" ht="17.100000000000001" customHeight="1" x14ac:dyDescent="0.25">
      <c r="A13" s="20"/>
      <c r="B13" s="144"/>
      <c r="C13" s="138"/>
      <c r="D13" s="139"/>
      <c r="E13" s="114">
        <v>4</v>
      </c>
      <c r="F13" s="110">
        <v>5</v>
      </c>
      <c r="G13" s="111">
        <v>6</v>
      </c>
      <c r="H13" s="139"/>
      <c r="I13" s="157"/>
      <c r="J13" s="161"/>
      <c r="K13" s="158"/>
      <c r="L13" s="162"/>
      <c r="M13" s="162"/>
      <c r="N13" s="162"/>
      <c r="O13" s="162"/>
      <c r="P13" s="160"/>
      <c r="Q13" s="20"/>
    </row>
    <row r="14" spans="1:19" ht="17.100000000000001" customHeight="1" thickBot="1" x14ac:dyDescent="0.3">
      <c r="A14" s="20"/>
      <c r="D14" s="145"/>
      <c r="E14" s="115">
        <v>7</v>
      </c>
      <c r="F14" s="116">
        <v>8</v>
      </c>
      <c r="G14" s="117">
        <v>9</v>
      </c>
      <c r="H14" s="145"/>
      <c r="I14" s="157"/>
      <c r="J14" s="161"/>
      <c r="K14" s="151"/>
      <c r="L14" s="152"/>
      <c r="M14" s="152"/>
      <c r="N14" s="152"/>
      <c r="O14" s="152"/>
      <c r="P14" s="153"/>
      <c r="Q14" s="20"/>
    </row>
    <row r="15" spans="1:19" ht="17.100000000000001" customHeight="1" x14ac:dyDescent="0.25">
      <c r="A15" s="20"/>
      <c r="E15" s="87"/>
      <c r="F15" s="97"/>
      <c r="G15" s="98"/>
      <c r="Q15" s="20"/>
    </row>
    <row r="16" spans="1:19" ht="17.100000000000001" customHeight="1" x14ac:dyDescent="0.25">
      <c r="A16" s="20"/>
      <c r="B16" s="144" t="str">
        <f>_xlfn.CONCAT("Matrix ","[",C4,"]",_xlfn.UNICHAR(8722),"[",C5,"]")</f>
        <v>Matrix [A]−[B]</v>
      </c>
      <c r="C16" s="138" t="s">
        <v>2</v>
      </c>
      <c r="D16" s="139" t="s">
        <v>3</v>
      </c>
      <c r="E16" s="95">
        <f>E8</f>
        <v>1</v>
      </c>
      <c r="F16" s="83">
        <f t="shared" ref="F16:G16" si="0">F8</f>
        <v>2</v>
      </c>
      <c r="G16" s="86">
        <f t="shared" si="0"/>
        <v>3</v>
      </c>
      <c r="H16" s="139" t="s">
        <v>4</v>
      </c>
      <c r="I16" s="173" t="s">
        <v>60</v>
      </c>
      <c r="J16" s="139" t="s">
        <v>3</v>
      </c>
      <c r="K16" s="95">
        <f>E12</f>
        <v>1</v>
      </c>
      <c r="L16" s="83">
        <f t="shared" ref="L16:M18" si="1">F12</f>
        <v>2</v>
      </c>
      <c r="M16" s="86">
        <f t="shared" si="1"/>
        <v>3</v>
      </c>
      <c r="N16" s="139" t="s">
        <v>4</v>
      </c>
      <c r="Q16" s="20"/>
    </row>
    <row r="17" spans="1:17" ht="17.100000000000001" customHeight="1" x14ac:dyDescent="0.25">
      <c r="A17" s="20"/>
      <c r="B17" s="144"/>
      <c r="C17" s="138"/>
      <c r="D17" s="139"/>
      <c r="E17" s="96">
        <f t="shared" ref="E17:G18" si="2">E9</f>
        <v>4</v>
      </c>
      <c r="F17" s="84">
        <f t="shared" si="2"/>
        <v>5</v>
      </c>
      <c r="G17" s="85">
        <f t="shared" si="2"/>
        <v>6</v>
      </c>
      <c r="H17" s="139"/>
      <c r="I17" s="138"/>
      <c r="J17" s="139"/>
      <c r="K17" s="96">
        <f t="shared" ref="K17:K18" si="3">E13</f>
        <v>4</v>
      </c>
      <c r="L17" s="84">
        <f t="shared" si="1"/>
        <v>5</v>
      </c>
      <c r="M17" s="85">
        <f t="shared" si="1"/>
        <v>6</v>
      </c>
      <c r="N17" s="139"/>
      <c r="Q17" s="20"/>
    </row>
    <row r="18" spans="1:17" ht="17.100000000000001" customHeight="1" x14ac:dyDescent="0.25">
      <c r="A18" s="20"/>
      <c r="B18" s="144"/>
      <c r="C18" s="138"/>
      <c r="D18" s="145"/>
      <c r="E18" s="87">
        <f t="shared" si="2"/>
        <v>7</v>
      </c>
      <c r="F18" s="97">
        <f t="shared" si="2"/>
        <v>8</v>
      </c>
      <c r="G18" s="98">
        <f t="shared" si="2"/>
        <v>9</v>
      </c>
      <c r="H18" s="145"/>
      <c r="I18" s="138"/>
      <c r="J18" s="139"/>
      <c r="K18" s="87">
        <f t="shared" si="3"/>
        <v>7</v>
      </c>
      <c r="L18" s="97">
        <f t="shared" si="1"/>
        <v>8</v>
      </c>
      <c r="M18" s="98">
        <f t="shared" si="1"/>
        <v>9</v>
      </c>
      <c r="N18" s="139"/>
      <c r="Q18" s="20"/>
    </row>
    <row r="19" spans="1:17" ht="17.100000000000001" customHeight="1" x14ac:dyDescent="0.25">
      <c r="A19" s="20"/>
      <c r="Q19" s="20"/>
    </row>
    <row r="20" spans="1:17" ht="17.100000000000001" customHeight="1" x14ac:dyDescent="0.25">
      <c r="A20" s="20"/>
      <c r="B20" s="144" t="str">
        <f>B16</f>
        <v>Matrix [A]−[B]</v>
      </c>
      <c r="C20" s="138" t="s">
        <v>2</v>
      </c>
      <c r="D20" s="139" t="s">
        <v>3</v>
      </c>
      <c r="E20" s="95" t="str">
        <f>_xlfn.CONCAT("(",E16,_xlfn.UNICHAR(8722),K16,")")</f>
        <v>(1−1)</v>
      </c>
      <c r="F20" s="83" t="str">
        <f t="shared" ref="F20:G22" si="4">_xlfn.CONCAT("(",F16,_xlfn.UNICHAR(8722),L16,")")</f>
        <v>(2−2)</v>
      </c>
      <c r="G20" s="86" t="str">
        <f t="shared" si="4"/>
        <v>(3−3)</v>
      </c>
      <c r="H20" s="139" t="s">
        <v>4</v>
      </c>
      <c r="Q20" s="20"/>
    </row>
    <row r="21" spans="1:17" ht="17.100000000000001" customHeight="1" x14ac:dyDescent="0.25">
      <c r="A21" s="20"/>
      <c r="B21" s="144"/>
      <c r="C21" s="138"/>
      <c r="D21" s="139"/>
      <c r="E21" s="96" t="str">
        <f t="shared" ref="E21:E22" si="5">_xlfn.CONCAT("(",E17,_xlfn.UNICHAR(8722),K17,")")</f>
        <v>(4−4)</v>
      </c>
      <c r="F21" s="84" t="str">
        <f t="shared" si="4"/>
        <v>(5−5)</v>
      </c>
      <c r="G21" s="85" t="str">
        <f t="shared" si="4"/>
        <v>(6−6)</v>
      </c>
      <c r="H21" s="139"/>
      <c r="Q21" s="20"/>
    </row>
    <row r="22" spans="1:17" ht="17.100000000000001" customHeight="1" x14ac:dyDescent="0.25">
      <c r="A22" s="20"/>
      <c r="B22" s="144"/>
      <c r="C22" s="138"/>
      <c r="D22" s="145"/>
      <c r="E22" s="87" t="str">
        <f t="shared" si="5"/>
        <v>(7−7)</v>
      </c>
      <c r="F22" s="97" t="str">
        <f t="shared" si="4"/>
        <v>(8−8)</v>
      </c>
      <c r="G22" s="98" t="str">
        <f t="shared" si="4"/>
        <v>(9−9)</v>
      </c>
      <c r="H22" s="145"/>
      <c r="Q22" s="20"/>
    </row>
    <row r="23" spans="1:17" ht="17.100000000000001" customHeight="1" x14ac:dyDescent="0.25">
      <c r="A23" s="20"/>
      <c r="Q23" s="20"/>
    </row>
    <row r="24" spans="1:17" ht="17.100000000000001" customHeight="1" x14ac:dyDescent="0.25">
      <c r="A24" s="20"/>
      <c r="B24" s="165" t="str">
        <f>B16</f>
        <v>Matrix [A]−[B]</v>
      </c>
      <c r="C24" s="138" t="s">
        <v>2</v>
      </c>
      <c r="D24" s="139" t="s">
        <v>3</v>
      </c>
      <c r="E24" s="95">
        <f t="array" ref="E24:G26">E16:G18-K16:M18</f>
        <v>0</v>
      </c>
      <c r="F24" s="83">
        <v>0</v>
      </c>
      <c r="G24" s="86">
        <v>0</v>
      </c>
      <c r="H24" s="139" t="s">
        <v>4</v>
      </c>
      <c r="I24" s="91"/>
      <c r="J24" s="91"/>
      <c r="Q24" s="20"/>
    </row>
    <row r="25" spans="1:17" ht="17.100000000000001" customHeight="1" x14ac:dyDescent="0.25">
      <c r="A25" s="20"/>
      <c r="B25" s="165"/>
      <c r="C25" s="138"/>
      <c r="D25" s="139"/>
      <c r="E25" s="96">
        <v>0</v>
      </c>
      <c r="F25" s="84">
        <v>0</v>
      </c>
      <c r="G25" s="85">
        <v>0</v>
      </c>
      <c r="H25" s="139"/>
      <c r="I25" s="91"/>
      <c r="J25" s="91"/>
      <c r="Q25" s="20"/>
    </row>
    <row r="26" spans="1:17" ht="17.100000000000001" customHeight="1" x14ac:dyDescent="0.25">
      <c r="A26" s="20"/>
      <c r="B26" s="165"/>
      <c r="C26" s="138"/>
      <c r="D26" s="145"/>
      <c r="E26" s="87">
        <v>0</v>
      </c>
      <c r="F26" s="97">
        <v>0</v>
      </c>
      <c r="G26" s="98">
        <v>0</v>
      </c>
      <c r="H26" s="145"/>
      <c r="I26" s="89"/>
      <c r="J26" s="89"/>
      <c r="Q26" s="20"/>
    </row>
    <row r="27" spans="1:17" ht="17.100000000000001" customHeight="1" thickBot="1" x14ac:dyDescent="0.3">
      <c r="A27" s="20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36"/>
    </row>
    <row r="28" spans="1:17" ht="16.5" thickTop="1" x14ac:dyDescent="0.25"/>
  </sheetData>
  <sheetProtection algorithmName="SHA-512" hashValue="B0bxxXV/Qw/0GNDG26qEJtnJ1rtXS44q0okiyRIlR6bD4y/EfHbK0qUu2ME4lCOQ5iN/IhatNZ08CrGNj7JaOg==" saltValue="rakbKllPpQ+RihOwkr2jkw==" spinCount="100000" sheet="1" objects="1" scenarios="1"/>
  <mergeCells count="29">
    <mergeCell ref="K12:P14"/>
    <mergeCell ref="B2:Q2"/>
    <mergeCell ref="D4:Q5"/>
    <mergeCell ref="B8:B10"/>
    <mergeCell ref="C8:C10"/>
    <mergeCell ref="D8:D10"/>
    <mergeCell ref="H8:H10"/>
    <mergeCell ref="I8:J10"/>
    <mergeCell ref="K8:P10"/>
    <mergeCell ref="B12:B13"/>
    <mergeCell ref="C12:C13"/>
    <mergeCell ref="D12:D14"/>
    <mergeCell ref="H12:H14"/>
    <mergeCell ref="I12:J14"/>
    <mergeCell ref="B24:B26"/>
    <mergeCell ref="C24:C26"/>
    <mergeCell ref="D24:D26"/>
    <mergeCell ref="H24:H26"/>
    <mergeCell ref="B16:B18"/>
    <mergeCell ref="C16:C18"/>
    <mergeCell ref="D16:D18"/>
    <mergeCell ref="H16:H18"/>
    <mergeCell ref="N16:N18"/>
    <mergeCell ref="B20:B22"/>
    <mergeCell ref="C20:C22"/>
    <mergeCell ref="D20:D22"/>
    <mergeCell ref="H20:H22"/>
    <mergeCell ref="I16:I18"/>
    <mergeCell ref="J16:J18"/>
  </mergeCells>
  <hyperlinks>
    <hyperlink ref="S2" location="'Main Page'!A1" display="Go to TOC Sheet" xr:uid="{F87138E7-C1C9-4BFA-B048-186E68F014F2}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ABE9D-EAB0-432D-A9E5-DDB86588F48B}">
  <sheetPr codeName="Sheet2"/>
  <dimension ref="A1:V21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6" width="7.7109375" style="16" customWidth="1"/>
    <col min="7" max="9" width="3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6384" width="9.140625" style="16"/>
  </cols>
  <sheetData>
    <row r="1" spans="1:22" ht="16.5" thickBot="1" x14ac:dyDescent="0.3">
      <c r="P1" s="2"/>
      <c r="Q1" s="2"/>
    </row>
    <row r="2" spans="1:22" ht="17.25" thickTop="1" thickBot="1" x14ac:dyDescent="0.3">
      <c r="B2" s="140" t="s">
        <v>30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7"/>
      <c r="Q2" s="18" t="s">
        <v>52</v>
      </c>
    </row>
    <row r="3" spans="1:22" ht="17.25" thickTop="1" thickBot="1" x14ac:dyDescent="0.3">
      <c r="B3" s="19"/>
      <c r="C3" s="19"/>
      <c r="P3" s="2"/>
      <c r="Q3" s="2"/>
    </row>
    <row r="4" spans="1:22" ht="24.95" customHeight="1" thickTop="1" x14ac:dyDescent="0.25">
      <c r="A4" s="20"/>
      <c r="B4" s="21" t="s">
        <v>5</v>
      </c>
      <c r="C4" s="37" t="s">
        <v>0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"/>
      <c r="Q4" s="2"/>
    </row>
    <row r="5" spans="1:22" ht="24.95" customHeight="1" thickBot="1" x14ac:dyDescent="0.3">
      <c r="A5" s="20"/>
      <c r="B5" s="22" t="s">
        <v>6</v>
      </c>
      <c r="C5" s="38" t="s">
        <v>1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7"/>
      <c r="Q5" s="2"/>
    </row>
    <row r="6" spans="1:22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"/>
      <c r="Q6" s="2"/>
    </row>
    <row r="7" spans="1:22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5"/>
      <c r="P7" s="2"/>
      <c r="Q7" s="2"/>
    </row>
    <row r="8" spans="1:22" ht="17.100000000000001" customHeight="1" thickBot="1" x14ac:dyDescent="0.3">
      <c r="A8" s="20"/>
      <c r="B8" s="26" t="str">
        <f>_xlfn.CONCAT("Matrix ","[",C4,"]")</f>
        <v>Matrix [A]</v>
      </c>
      <c r="C8" s="2" t="s">
        <v>2</v>
      </c>
      <c r="D8" s="27" t="s">
        <v>3</v>
      </c>
      <c r="E8" s="39">
        <v>1</v>
      </c>
      <c r="F8" s="39">
        <v>2</v>
      </c>
      <c r="G8" s="27" t="s">
        <v>4</v>
      </c>
      <c r="H8" s="194"/>
      <c r="I8" s="195"/>
      <c r="J8" s="196" t="str">
        <f>_xlfn.CONCAT("Enter values for Matrix [",C4,"] here")</f>
        <v>Enter values for Matrix [A] here</v>
      </c>
      <c r="K8" s="197"/>
      <c r="L8" s="197"/>
      <c r="M8" s="197"/>
      <c r="N8" s="198"/>
      <c r="O8" s="20"/>
      <c r="P8" s="2"/>
      <c r="Q8" s="2"/>
    </row>
    <row r="9" spans="1:22" ht="17.100000000000001" customHeight="1" thickBot="1" x14ac:dyDescent="0.3">
      <c r="A9" s="20"/>
      <c r="B9" s="26"/>
      <c r="C9" s="2"/>
      <c r="D9" s="2"/>
      <c r="E9" s="29"/>
      <c r="F9" s="29"/>
      <c r="G9" s="2"/>
      <c r="H9" s="2"/>
      <c r="I9" s="2"/>
      <c r="J9" s="2"/>
      <c r="K9" s="2"/>
      <c r="L9" s="2"/>
      <c r="M9" s="2"/>
      <c r="N9" s="2"/>
      <c r="O9" s="20"/>
      <c r="P9" s="2"/>
      <c r="Q9" s="2"/>
    </row>
    <row r="10" spans="1:22" ht="17.100000000000001" customHeight="1" x14ac:dyDescent="0.25">
      <c r="A10" s="20"/>
      <c r="B10" s="181" t="str">
        <f>_xlfn.CONCAT("Matrix ","[",C5,"]")</f>
        <v>Matrix [B]</v>
      </c>
      <c r="C10" s="182" t="s">
        <v>2</v>
      </c>
      <c r="D10" s="183" t="s">
        <v>3</v>
      </c>
      <c r="E10" s="39">
        <v>1</v>
      </c>
      <c r="F10" s="180" t="s">
        <v>4</v>
      </c>
      <c r="H10" s="194"/>
      <c r="I10" s="195"/>
      <c r="J10" s="188" t="str">
        <f>_xlfn.CONCAT("Enter values for Matrix [",C5,"] here")</f>
        <v>Enter values for Matrix [B] here</v>
      </c>
      <c r="K10" s="189"/>
      <c r="L10" s="189"/>
      <c r="M10" s="189"/>
      <c r="N10" s="190"/>
      <c r="O10" s="20"/>
      <c r="P10" s="2"/>
      <c r="Q10" s="2"/>
    </row>
    <row r="11" spans="1:22" ht="17.100000000000001" customHeight="1" thickBot="1" x14ac:dyDescent="0.3">
      <c r="A11" s="20"/>
      <c r="B11" s="181"/>
      <c r="C11" s="182"/>
      <c r="D11" s="184"/>
      <c r="E11" s="39">
        <v>2</v>
      </c>
      <c r="F11" s="199"/>
      <c r="H11" s="194"/>
      <c r="I11" s="195"/>
      <c r="J11" s="191"/>
      <c r="K11" s="192"/>
      <c r="L11" s="192"/>
      <c r="M11" s="192"/>
      <c r="N11" s="193"/>
      <c r="O11" s="20"/>
      <c r="P11" s="2"/>
      <c r="Q11" s="2"/>
    </row>
    <row r="12" spans="1:22" ht="17.100000000000001" customHeight="1" x14ac:dyDescent="0.25">
      <c r="A12" s="20"/>
      <c r="B12" s="26"/>
      <c r="C12" s="2"/>
      <c r="D12" s="2"/>
      <c r="E12" s="29"/>
      <c r="F12" s="29"/>
      <c r="G12" s="2"/>
      <c r="H12" s="2"/>
      <c r="I12" s="2"/>
      <c r="J12" s="2"/>
      <c r="K12" s="2"/>
      <c r="L12" s="2"/>
      <c r="M12" s="2"/>
      <c r="N12" s="2"/>
      <c r="O12" s="20"/>
      <c r="P12" s="2"/>
      <c r="Q12" s="2"/>
    </row>
    <row r="13" spans="1:22" ht="17.100000000000001" customHeight="1" x14ac:dyDescent="0.25">
      <c r="A13" s="20"/>
      <c r="B13" s="181" t="str">
        <f>_xlfn.CONCAT("Matrix ","[",C4,"]",_xlfn.UNICHAR(215),"[",C5,"]")</f>
        <v>Matrix [A]×[B]</v>
      </c>
      <c r="C13" s="182" t="s">
        <v>2</v>
      </c>
      <c r="D13" s="27" t="s">
        <v>3</v>
      </c>
      <c r="E13" s="28">
        <f>E8</f>
        <v>1</v>
      </c>
      <c r="F13" s="28">
        <f>F8</f>
        <v>2</v>
      </c>
      <c r="G13" s="27" t="s">
        <v>4</v>
      </c>
      <c r="H13" s="187" t="str">
        <f>_xlfn.UNICHAR(215)</f>
        <v>×</v>
      </c>
      <c r="I13" s="183" t="s">
        <v>3</v>
      </c>
      <c r="J13" s="28">
        <f>E10</f>
        <v>1</v>
      </c>
      <c r="K13" s="180" t="s">
        <v>4</v>
      </c>
      <c r="O13" s="20"/>
      <c r="P13" s="2"/>
      <c r="Q13" s="2"/>
    </row>
    <row r="14" spans="1:22" ht="17.100000000000001" customHeight="1" x14ac:dyDescent="0.25">
      <c r="A14" s="20"/>
      <c r="B14" s="181"/>
      <c r="C14" s="182"/>
      <c r="D14" s="30"/>
      <c r="E14" s="28"/>
      <c r="F14" s="28"/>
      <c r="G14" s="31"/>
      <c r="H14" s="187"/>
      <c r="I14" s="183"/>
      <c r="J14" s="28">
        <f>E11</f>
        <v>2</v>
      </c>
      <c r="K14" s="180"/>
      <c r="O14" s="20"/>
      <c r="P14" s="2"/>
      <c r="Q14" s="2"/>
      <c r="V14" s="32"/>
    </row>
    <row r="15" spans="1:22" ht="17.100000000000001" customHeight="1" x14ac:dyDescent="0.25">
      <c r="A15" s="20"/>
      <c r="B15" s="26"/>
      <c r="C15" s="2"/>
      <c r="D15" s="2"/>
      <c r="E15" s="29"/>
      <c r="F15" s="29"/>
      <c r="G15" s="2"/>
      <c r="H15" s="2"/>
      <c r="I15" s="2"/>
      <c r="J15" s="2"/>
      <c r="K15" s="2"/>
      <c r="L15" s="2"/>
      <c r="M15" s="2"/>
      <c r="N15" s="2"/>
      <c r="O15" s="20"/>
      <c r="P15" s="2"/>
      <c r="Q15" s="2"/>
    </row>
    <row r="16" spans="1:22" ht="17.100000000000001" customHeight="1" x14ac:dyDescent="0.25">
      <c r="A16" s="20"/>
      <c r="B16" s="181" t="str">
        <f>B13</f>
        <v>Matrix [A]×[B]</v>
      </c>
      <c r="C16" s="182" t="s">
        <v>2</v>
      </c>
      <c r="D16" s="183" t="s">
        <v>3</v>
      </c>
      <c r="E16" s="179" t="str">
        <f>_xlfn.CONCAT("(",E13,_xlfn.UNICHAR(215),J13,") + (",F13,_xlfn.UNICHAR(215),J14,")")</f>
        <v>(1×1) + (2×2)</v>
      </c>
      <c r="F16" s="179"/>
      <c r="G16" s="180" t="s">
        <v>4</v>
      </c>
      <c r="H16" s="185"/>
      <c r="I16" s="185"/>
      <c r="J16" s="185"/>
      <c r="L16" s="2"/>
      <c r="M16" s="2"/>
      <c r="N16" s="2"/>
      <c r="O16" s="20"/>
      <c r="P16" s="2"/>
      <c r="Q16" s="2"/>
    </row>
    <row r="17" spans="1:17" ht="17.100000000000001" customHeight="1" x14ac:dyDescent="0.25">
      <c r="A17" s="20"/>
      <c r="B17" s="181"/>
      <c r="C17" s="182"/>
      <c r="D17" s="184"/>
      <c r="E17" s="179"/>
      <c r="F17" s="179"/>
      <c r="G17" s="180"/>
      <c r="H17" s="186"/>
      <c r="I17" s="186"/>
      <c r="J17" s="186"/>
      <c r="L17" s="2"/>
      <c r="M17" s="2"/>
      <c r="N17" s="2"/>
      <c r="O17" s="20"/>
      <c r="P17" s="2"/>
      <c r="Q17" s="2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"/>
      <c r="H18" s="2"/>
      <c r="I18" s="2"/>
      <c r="J18" s="2"/>
      <c r="K18" s="2"/>
      <c r="L18" s="2"/>
      <c r="M18" s="2"/>
      <c r="N18" s="2"/>
      <c r="O18" s="20"/>
      <c r="P18" s="2"/>
      <c r="Q18" s="2"/>
    </row>
    <row r="19" spans="1:17" ht="35.1" customHeight="1" x14ac:dyDescent="0.25">
      <c r="A19" s="20"/>
      <c r="B19" s="33" t="str">
        <f>B13</f>
        <v>Matrix [A]×[B]</v>
      </c>
      <c r="C19" s="2" t="s">
        <v>2</v>
      </c>
      <c r="D19" s="30" t="s">
        <v>3</v>
      </c>
      <c r="E19" s="34">
        <f t="array" ref="E19">MMULT(E13:F13,J13:J14)</f>
        <v>5</v>
      </c>
      <c r="F19" s="31" t="s">
        <v>4</v>
      </c>
      <c r="H19" s="31"/>
      <c r="I19" s="31"/>
      <c r="J19" s="2"/>
      <c r="K19" s="2"/>
      <c r="L19" s="2"/>
      <c r="M19" s="2"/>
      <c r="N19" s="2"/>
      <c r="O19" s="20"/>
      <c r="P19" s="2"/>
      <c r="Q19" s="2"/>
    </row>
    <row r="20" spans="1:17" ht="17.100000000000001" customHeight="1" thickBot="1" x14ac:dyDescent="0.3">
      <c r="A20" s="20"/>
      <c r="B20" s="35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36"/>
      <c r="P20" s="2"/>
      <c r="Q20" s="2"/>
    </row>
    <row r="21" spans="1:17" ht="16.5" thickTop="1" x14ac:dyDescent="0.25">
      <c r="P21" s="2"/>
      <c r="Q21" s="2"/>
    </row>
  </sheetData>
  <sheetProtection algorithmName="SHA-512" hashValue="Ar9pKx459Hus1BTbylwQU65vJBER9U3DUXoTKH4OroIHPmgZpavA+dX1rZTFVurMDnZet6iglC0sBpEE5mx3WA==" saltValue="8tAFafP/RuD/aFHRCIKolQ==" spinCount="100000" sheet="1" objects="1" scenarios="1"/>
  <mergeCells count="22">
    <mergeCell ref="B2:O2"/>
    <mergeCell ref="J10:N11"/>
    <mergeCell ref="D4:O5"/>
    <mergeCell ref="H8:I8"/>
    <mergeCell ref="J8:N8"/>
    <mergeCell ref="B10:B11"/>
    <mergeCell ref="C10:C11"/>
    <mergeCell ref="D10:D11"/>
    <mergeCell ref="F10:F11"/>
    <mergeCell ref="H10:I11"/>
    <mergeCell ref="E16:F17"/>
    <mergeCell ref="K13:K14"/>
    <mergeCell ref="B16:B17"/>
    <mergeCell ref="C16:C17"/>
    <mergeCell ref="D16:D17"/>
    <mergeCell ref="H16:J16"/>
    <mergeCell ref="G16:G17"/>
    <mergeCell ref="H17:J17"/>
    <mergeCell ref="B13:B14"/>
    <mergeCell ref="C13:C14"/>
    <mergeCell ref="H13:H14"/>
    <mergeCell ref="I13:I14"/>
  </mergeCells>
  <hyperlinks>
    <hyperlink ref="Q2" location="'Main Page'!A1" display="Go to TOC Sheet" xr:uid="{D759EF80-843B-47C2-91BA-FCA633FF4432}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3190E-BD3C-4C64-BDB9-556AB9AFBC7E}">
  <sheetPr codeName="Sheet3"/>
  <dimension ref="A1:Q22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6" width="7.7109375" style="16" customWidth="1"/>
    <col min="7" max="9" width="3.7109375" style="16" customWidth="1"/>
    <col min="10" max="11" width="7.7109375" style="16" customWidth="1"/>
    <col min="12" max="12" width="2.7109375" style="16" customWidth="1"/>
    <col min="13" max="13" width="6.7109375" style="16" customWidth="1"/>
    <col min="14" max="14" width="5.140625" style="16" bestFit="1" customWidth="1"/>
    <col min="15" max="15" width="2.7109375" style="16" customWidth="1"/>
    <col min="16" max="16" width="9.140625" style="16"/>
    <col min="17" max="17" width="19" style="16" customWidth="1"/>
    <col min="18" max="16384" width="9.140625" style="16"/>
  </cols>
  <sheetData>
    <row r="1" spans="1:17" ht="16.5" thickBot="1" x14ac:dyDescent="0.3">
      <c r="P1" s="2"/>
      <c r="Q1" s="2"/>
    </row>
    <row r="2" spans="1:17" ht="17.25" thickTop="1" thickBot="1" x14ac:dyDescent="0.3">
      <c r="B2" s="140" t="s">
        <v>33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  <c r="P2" s="17"/>
      <c r="Q2" s="18" t="s">
        <v>52</v>
      </c>
    </row>
    <row r="3" spans="1:17" ht="17.25" thickTop="1" thickBot="1" x14ac:dyDescent="0.3">
      <c r="B3" s="19"/>
      <c r="C3" s="19"/>
      <c r="P3" s="2"/>
      <c r="Q3" s="2"/>
    </row>
    <row r="4" spans="1:17" ht="24.95" customHeight="1" thickTop="1" x14ac:dyDescent="0.25">
      <c r="A4" s="20"/>
      <c r="B4" s="21" t="s">
        <v>5</v>
      </c>
      <c r="C4" s="37" t="s">
        <v>0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"/>
      <c r="Q4" s="2"/>
    </row>
    <row r="5" spans="1:17" ht="24.95" customHeight="1" thickBot="1" x14ac:dyDescent="0.3">
      <c r="A5" s="20"/>
      <c r="B5" s="22" t="s">
        <v>6</v>
      </c>
      <c r="C5" s="38" t="s">
        <v>1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7"/>
      <c r="Q5" s="2"/>
    </row>
    <row r="6" spans="1:17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"/>
      <c r="Q6" s="2"/>
    </row>
    <row r="7" spans="1:17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5"/>
      <c r="P7" s="2"/>
      <c r="Q7" s="2"/>
    </row>
    <row r="8" spans="1:17" ht="17.100000000000001" customHeight="1" x14ac:dyDescent="0.25">
      <c r="A8" s="20"/>
      <c r="B8" s="181" t="str">
        <f>_xlfn.CONCAT("Matrix ","[",C4,"]")</f>
        <v>Matrix [A]</v>
      </c>
      <c r="C8" s="182" t="s">
        <v>2</v>
      </c>
      <c r="D8" s="183" t="s">
        <v>3</v>
      </c>
      <c r="E8" s="200">
        <v>1</v>
      </c>
      <c r="F8" s="200">
        <v>2</v>
      </c>
      <c r="G8" s="180" t="s">
        <v>4</v>
      </c>
      <c r="H8" s="156" t="s">
        <v>7</v>
      </c>
      <c r="I8" s="147"/>
      <c r="J8" s="188" t="str">
        <f>_xlfn.CONCAT("Enter values for Matrix [",C4,"] here")</f>
        <v>Enter values for Matrix [A] here</v>
      </c>
      <c r="K8" s="189"/>
      <c r="L8" s="189"/>
      <c r="M8" s="189"/>
      <c r="N8" s="190"/>
      <c r="O8" s="20"/>
      <c r="P8" s="2"/>
      <c r="Q8" s="2"/>
    </row>
    <row r="9" spans="1:17" ht="17.100000000000001" customHeight="1" thickBot="1" x14ac:dyDescent="0.3">
      <c r="A9" s="20"/>
      <c r="B9" s="181"/>
      <c r="C9" s="182"/>
      <c r="D9" s="184"/>
      <c r="E9" s="200"/>
      <c r="F9" s="200"/>
      <c r="G9" s="199"/>
      <c r="H9" s="156"/>
      <c r="I9" s="147"/>
      <c r="J9" s="191"/>
      <c r="K9" s="192"/>
      <c r="L9" s="192"/>
      <c r="M9" s="192"/>
      <c r="N9" s="193"/>
      <c r="O9" s="20"/>
      <c r="P9" s="2"/>
      <c r="Q9" s="2"/>
    </row>
    <row r="10" spans="1:17" ht="17.100000000000001" customHeight="1" thickBot="1" x14ac:dyDescent="0.3">
      <c r="A10" s="20"/>
      <c r="B10" s="26"/>
      <c r="C10" s="2"/>
      <c r="D10" s="2"/>
      <c r="E10" s="29"/>
      <c r="F10" s="29"/>
      <c r="G10" s="2"/>
      <c r="H10" s="2"/>
      <c r="I10" s="2"/>
      <c r="J10" s="2"/>
      <c r="K10" s="2"/>
      <c r="L10" s="2"/>
      <c r="M10" s="2"/>
      <c r="N10" s="2"/>
      <c r="O10" s="20"/>
      <c r="P10" s="2"/>
      <c r="Q10" s="2"/>
    </row>
    <row r="11" spans="1:17" ht="17.100000000000001" customHeight="1" x14ac:dyDescent="0.25">
      <c r="A11" s="20"/>
      <c r="B11" s="181" t="str">
        <f>_xlfn.CONCAT("Matrix ","[",C5,"]")</f>
        <v>Matrix [B]</v>
      </c>
      <c r="C11" s="182" t="s">
        <v>2</v>
      </c>
      <c r="D11" s="183" t="s">
        <v>3</v>
      </c>
      <c r="E11" s="39">
        <v>1</v>
      </c>
      <c r="F11" s="39">
        <v>2</v>
      </c>
      <c r="G11" s="180" t="s">
        <v>4</v>
      </c>
      <c r="H11" s="156" t="s">
        <v>7</v>
      </c>
      <c r="I11" s="147"/>
      <c r="J11" s="188" t="str">
        <f>_xlfn.CONCAT("Enter values for Matrix [",C5,"] here")</f>
        <v>Enter values for Matrix [B] here</v>
      </c>
      <c r="K11" s="189"/>
      <c r="L11" s="189"/>
      <c r="M11" s="189"/>
      <c r="N11" s="190"/>
      <c r="O11" s="20"/>
      <c r="P11" s="2"/>
      <c r="Q11" s="2"/>
    </row>
    <row r="12" spans="1:17" ht="17.100000000000001" customHeight="1" thickBot="1" x14ac:dyDescent="0.3">
      <c r="A12" s="20"/>
      <c r="B12" s="181"/>
      <c r="C12" s="182"/>
      <c r="D12" s="184"/>
      <c r="E12" s="39">
        <v>3</v>
      </c>
      <c r="F12" s="39">
        <v>4</v>
      </c>
      <c r="G12" s="199"/>
      <c r="H12" s="156"/>
      <c r="I12" s="147"/>
      <c r="J12" s="191"/>
      <c r="K12" s="192"/>
      <c r="L12" s="192"/>
      <c r="M12" s="192"/>
      <c r="N12" s="193"/>
      <c r="O12" s="20"/>
      <c r="P12" s="2"/>
      <c r="Q12" s="2"/>
    </row>
    <row r="13" spans="1:17" ht="17.100000000000001" customHeight="1" x14ac:dyDescent="0.25">
      <c r="A13" s="20"/>
      <c r="B13" s="26"/>
      <c r="C13" s="2"/>
      <c r="D13" s="2"/>
      <c r="E13" s="29"/>
      <c r="F13" s="29"/>
      <c r="G13" s="2"/>
      <c r="H13" s="2"/>
      <c r="I13" s="2"/>
      <c r="J13" s="2"/>
      <c r="K13" s="2"/>
      <c r="L13" s="2"/>
      <c r="M13" s="2"/>
      <c r="N13" s="2"/>
      <c r="O13" s="20"/>
      <c r="P13" s="2"/>
      <c r="Q13" s="2"/>
    </row>
    <row r="14" spans="1:17" ht="17.100000000000001" customHeight="1" x14ac:dyDescent="0.25">
      <c r="A14" s="20"/>
      <c r="B14" s="181" t="str">
        <f>_xlfn.CONCAT("Matrix ","[",C4,"]",_xlfn.UNICHAR(215),"[",C5,"]")</f>
        <v>Matrix [A]×[B]</v>
      </c>
      <c r="C14" s="182" t="s">
        <v>2</v>
      </c>
      <c r="D14" s="27" t="s">
        <v>3</v>
      </c>
      <c r="E14" s="28">
        <f>E8</f>
        <v>1</v>
      </c>
      <c r="F14" s="28">
        <v>2</v>
      </c>
      <c r="G14" s="27" t="s">
        <v>4</v>
      </c>
      <c r="H14" s="187" t="str">
        <f>_xlfn.UNICHAR(215)</f>
        <v>×</v>
      </c>
      <c r="I14" s="183" t="s">
        <v>3</v>
      </c>
      <c r="J14" s="28">
        <f>E11</f>
        <v>1</v>
      </c>
      <c r="K14" s="28">
        <f>F11</f>
        <v>2</v>
      </c>
      <c r="L14" s="180" t="s">
        <v>4</v>
      </c>
      <c r="O14" s="20"/>
      <c r="P14" s="2"/>
      <c r="Q14" s="2"/>
    </row>
    <row r="15" spans="1:17" ht="17.100000000000001" customHeight="1" x14ac:dyDescent="0.25">
      <c r="A15" s="20"/>
      <c r="B15" s="181"/>
      <c r="C15" s="182"/>
      <c r="D15" s="30"/>
      <c r="E15" s="28"/>
      <c r="F15" s="28"/>
      <c r="G15" s="31"/>
      <c r="H15" s="187"/>
      <c r="I15" s="183"/>
      <c r="J15" s="28">
        <f>E12</f>
        <v>3</v>
      </c>
      <c r="K15" s="28">
        <f>F12</f>
        <v>4</v>
      </c>
      <c r="L15" s="180"/>
      <c r="O15" s="20"/>
      <c r="P15" s="2"/>
      <c r="Q15" s="2"/>
    </row>
    <row r="16" spans="1:17" ht="17.100000000000001" customHeight="1" x14ac:dyDescent="0.25">
      <c r="A16" s="20"/>
      <c r="B16" s="26"/>
      <c r="C16" s="2"/>
      <c r="D16" s="2"/>
      <c r="E16" s="29"/>
      <c r="F16" s="29"/>
      <c r="G16" s="2"/>
      <c r="H16" s="2"/>
      <c r="I16" s="2"/>
      <c r="J16" s="2"/>
      <c r="K16" s="2"/>
      <c r="L16" s="2"/>
      <c r="M16" s="2"/>
      <c r="N16" s="2"/>
      <c r="O16" s="20"/>
      <c r="P16" s="2"/>
      <c r="Q16" s="2"/>
    </row>
    <row r="17" spans="1:17" ht="17.100000000000001" customHeight="1" x14ac:dyDescent="0.25">
      <c r="A17" s="20"/>
      <c r="B17" s="181" t="str">
        <f>B14</f>
        <v>Matrix [A]×[B]</v>
      </c>
      <c r="C17" s="182" t="s">
        <v>2</v>
      </c>
      <c r="D17" s="183" t="s">
        <v>3</v>
      </c>
      <c r="E17" s="179" t="str">
        <f>_xlfn.CONCAT("(",E14,_xlfn.UNICHAR(215),J14,") + (",F14,_xlfn.UNICHAR(215),J15,")")</f>
        <v>(1×1) + (2×3)</v>
      </c>
      <c r="F17" s="179"/>
      <c r="G17" s="2"/>
      <c r="H17" s="185" t="str">
        <f>_xlfn.CONCAT("(",E14,_xlfn.UNICHAR(215),K14,") + (",F14,_xlfn.UNICHAR(215),K15,")")</f>
        <v>(1×2) + (2×4)</v>
      </c>
      <c r="I17" s="185"/>
      <c r="J17" s="185"/>
      <c r="K17" s="180" t="s">
        <v>4</v>
      </c>
      <c r="L17" s="2"/>
      <c r="M17" s="2"/>
      <c r="N17" s="2"/>
      <c r="O17" s="20"/>
      <c r="P17" s="2"/>
      <c r="Q17" s="2"/>
    </row>
    <row r="18" spans="1:17" ht="17.100000000000001" customHeight="1" x14ac:dyDescent="0.25">
      <c r="A18" s="20"/>
      <c r="B18" s="181"/>
      <c r="C18" s="182"/>
      <c r="D18" s="184"/>
      <c r="E18" s="179"/>
      <c r="F18" s="179"/>
      <c r="G18" s="2"/>
      <c r="H18" s="185"/>
      <c r="I18" s="185"/>
      <c r="J18" s="185"/>
      <c r="K18" s="180"/>
      <c r="L18" s="2"/>
      <c r="M18" s="2"/>
      <c r="N18" s="2"/>
      <c r="O18" s="20"/>
      <c r="P18" s="2"/>
      <c r="Q18" s="2"/>
    </row>
    <row r="19" spans="1:17" ht="17.100000000000001" customHeight="1" x14ac:dyDescent="0.25">
      <c r="A19" s="20"/>
      <c r="B19" s="26"/>
      <c r="C19" s="2"/>
      <c r="D19" s="2"/>
      <c r="E19" s="29"/>
      <c r="F19" s="29"/>
      <c r="G19" s="2"/>
      <c r="H19" s="2"/>
      <c r="I19" s="2"/>
      <c r="J19" s="2"/>
      <c r="K19" s="2"/>
      <c r="L19" s="2"/>
      <c r="M19" s="2"/>
      <c r="N19" s="2"/>
      <c r="O19" s="20"/>
      <c r="P19" s="2"/>
      <c r="Q19" s="2"/>
    </row>
    <row r="20" spans="1:17" ht="35.1" customHeight="1" x14ac:dyDescent="0.25">
      <c r="A20" s="20"/>
      <c r="B20" s="33" t="str">
        <f>B14</f>
        <v>Matrix [A]×[B]</v>
      </c>
      <c r="C20" s="2" t="s">
        <v>2</v>
      </c>
      <c r="D20" s="30" t="s">
        <v>3</v>
      </c>
      <c r="E20" s="34">
        <f t="array" ref="E20:F20">MMULT(E14:F14,J14:K15)</f>
        <v>7</v>
      </c>
      <c r="F20" s="40">
        <v>10</v>
      </c>
      <c r="G20" s="31" t="s">
        <v>4</v>
      </c>
      <c r="H20" s="31"/>
      <c r="I20" s="31"/>
      <c r="J20" s="2"/>
      <c r="K20" s="2"/>
      <c r="L20" s="2"/>
      <c r="M20" s="2"/>
      <c r="N20" s="2"/>
      <c r="O20" s="20"/>
      <c r="P20" s="2"/>
      <c r="Q20" s="2"/>
    </row>
    <row r="21" spans="1:17" ht="17.100000000000001" customHeight="1" thickBot="1" x14ac:dyDescent="0.3">
      <c r="A21" s="20"/>
      <c r="B21" s="35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36"/>
      <c r="P21" s="2"/>
      <c r="Q21" s="2"/>
    </row>
    <row r="22" spans="1:17" ht="16.5" thickTop="1" x14ac:dyDescent="0.25">
      <c r="P22" s="2"/>
      <c r="Q22" s="2"/>
    </row>
  </sheetData>
  <sheetProtection algorithmName="SHA-512" hashValue="8Vp4X9ssKQw+nM6iYP1qcFbS21hMQ/mK+VozEf9+PO+FSzGTZI1hyt8cHBV/o4LbC2N5rQ3gGU7j3/4Qd3xvzw==" saltValue="hLNtr5Fl7BOrk14lV7TVDg==" spinCount="100000" sheet="1" objects="1" scenarios="1"/>
  <mergeCells count="27">
    <mergeCell ref="B2:O2"/>
    <mergeCell ref="G11:G12"/>
    <mergeCell ref="H11:I12"/>
    <mergeCell ref="J11:N12"/>
    <mergeCell ref="D4:O5"/>
    <mergeCell ref="B8:B9"/>
    <mergeCell ref="C8:C9"/>
    <mergeCell ref="D8:D9"/>
    <mergeCell ref="G8:G9"/>
    <mergeCell ref="H8:I9"/>
    <mergeCell ref="J8:N9"/>
    <mergeCell ref="E8:E9"/>
    <mergeCell ref="F8:F9"/>
    <mergeCell ref="B11:B12"/>
    <mergeCell ref="C11:C12"/>
    <mergeCell ref="D11:D12"/>
    <mergeCell ref="E17:F18"/>
    <mergeCell ref="L14:L15"/>
    <mergeCell ref="B17:B18"/>
    <mergeCell ref="C17:C18"/>
    <mergeCell ref="D17:D18"/>
    <mergeCell ref="K17:K18"/>
    <mergeCell ref="H17:J18"/>
    <mergeCell ref="B14:B15"/>
    <mergeCell ref="C14:C15"/>
    <mergeCell ref="H14:H15"/>
    <mergeCell ref="I14:I15"/>
  </mergeCells>
  <hyperlinks>
    <hyperlink ref="Q2" location="'Main Page'!A1" display="Go to TOC Sheet" xr:uid="{E8FC29AA-07A1-42BE-8807-8E43F030A14D}"/>
  </hyperlink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3BCB2-7229-4084-980D-852C53323582}">
  <sheetPr codeName="Sheet4"/>
  <dimension ref="A1:S23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9" width="3.7109375" style="16" customWidth="1"/>
    <col min="10" max="12" width="7.7109375" style="16" customWidth="1"/>
    <col min="13" max="13" width="5.140625" style="16" bestFit="1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0" t="s">
        <v>34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2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5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81" t="str">
        <f>_xlfn.CONCAT("Matrix ","[",C4,"]")</f>
        <v>Matrix [A]</v>
      </c>
      <c r="C8" s="182" t="s">
        <v>2</v>
      </c>
      <c r="D8" s="183" t="s">
        <v>3</v>
      </c>
      <c r="E8" s="200">
        <v>1</v>
      </c>
      <c r="F8" s="200">
        <v>2</v>
      </c>
      <c r="G8" s="180" t="s">
        <v>4</v>
      </c>
      <c r="H8" s="180"/>
      <c r="I8" s="203"/>
      <c r="J8" s="203"/>
      <c r="K8" s="148" t="str">
        <f>_xlfn.CONCAT("Enter values for Matrix [",C4,"] here")</f>
        <v>Enter values for Matrix [A] here</v>
      </c>
      <c r="L8" s="149"/>
      <c r="M8" s="149"/>
      <c r="N8" s="149"/>
      <c r="O8" s="149"/>
      <c r="P8" s="150"/>
      <c r="Q8" s="20"/>
    </row>
    <row r="9" spans="1:19" ht="17.100000000000001" customHeight="1" thickBot="1" x14ac:dyDescent="0.3">
      <c r="A9" s="20"/>
      <c r="B9" s="181"/>
      <c r="C9" s="182"/>
      <c r="D9" s="183"/>
      <c r="E9" s="200"/>
      <c r="F9" s="200">
        <v>5</v>
      </c>
      <c r="G9" s="180"/>
      <c r="H9" s="180"/>
      <c r="I9" s="203"/>
      <c r="J9" s="203"/>
      <c r="K9" s="151"/>
      <c r="L9" s="152"/>
      <c r="M9" s="152"/>
      <c r="N9" s="152"/>
      <c r="O9" s="152"/>
      <c r="P9" s="153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81" t="str">
        <f>_xlfn.CONCAT("Matrix ","[",C5,"]")</f>
        <v>Matrix [B]</v>
      </c>
      <c r="C11" s="182" t="s">
        <v>2</v>
      </c>
      <c r="D11" s="183" t="s">
        <v>3</v>
      </c>
      <c r="E11" s="39">
        <v>1</v>
      </c>
      <c r="F11" s="39">
        <v>2</v>
      </c>
      <c r="G11" s="39">
        <v>3</v>
      </c>
      <c r="H11" s="180" t="s">
        <v>4</v>
      </c>
      <c r="I11" s="203"/>
      <c r="J11" s="203"/>
      <c r="K11" s="148" t="str">
        <f>_xlfn.CONCAT("Enter values for Matrix [",C5,"] here")</f>
        <v>Enter values for Matrix [B] here</v>
      </c>
      <c r="L11" s="149"/>
      <c r="M11" s="149"/>
      <c r="N11" s="149"/>
      <c r="O11" s="149"/>
      <c r="P11" s="150"/>
      <c r="Q11" s="20"/>
    </row>
    <row r="12" spans="1:19" ht="17.100000000000001" customHeight="1" thickBot="1" x14ac:dyDescent="0.3">
      <c r="A12" s="20"/>
      <c r="B12" s="181"/>
      <c r="C12" s="182"/>
      <c r="D12" s="183"/>
      <c r="E12" s="39">
        <v>4</v>
      </c>
      <c r="F12" s="39">
        <v>5</v>
      </c>
      <c r="G12" s="39">
        <v>6</v>
      </c>
      <c r="H12" s="180"/>
      <c r="I12" s="203"/>
      <c r="J12" s="203"/>
      <c r="K12" s="151"/>
      <c r="L12" s="152"/>
      <c r="M12" s="152"/>
      <c r="N12" s="152"/>
      <c r="O12" s="152"/>
      <c r="P12" s="153"/>
      <c r="Q12" s="20"/>
    </row>
    <row r="13" spans="1:19" ht="17.100000000000001" customHeight="1" x14ac:dyDescent="0.25">
      <c r="A13" s="20"/>
      <c r="B13" s="26"/>
      <c r="C13" s="2"/>
      <c r="D13" s="2"/>
      <c r="E13" s="29"/>
      <c r="F13" s="29"/>
      <c r="G13" s="29"/>
      <c r="H13" s="2"/>
      <c r="I13" s="2"/>
      <c r="J13" s="2"/>
      <c r="K13" s="2"/>
      <c r="L13" s="2"/>
      <c r="M13" s="2"/>
      <c r="N13" s="2"/>
      <c r="O13" s="2"/>
      <c r="P13" s="2"/>
      <c r="Q13" s="20"/>
    </row>
    <row r="14" spans="1:19" ht="17.100000000000001" customHeight="1" x14ac:dyDescent="0.25">
      <c r="A14" s="20"/>
      <c r="B14" s="181" t="str">
        <f>_xlfn.CONCAT("Matrix ","[",C4,"]",_xlfn.UNICHAR(215),"[",C5,"]")</f>
        <v>Matrix [A]×[B]</v>
      </c>
      <c r="C14" s="182" t="s">
        <v>2</v>
      </c>
      <c r="D14" s="27" t="s">
        <v>3</v>
      </c>
      <c r="E14" s="28">
        <f>E8</f>
        <v>1</v>
      </c>
      <c r="F14" s="28">
        <v>2</v>
      </c>
      <c r="G14" s="27" t="s">
        <v>4</v>
      </c>
      <c r="H14" s="187" t="str">
        <f>_xlfn.UNICHAR(215)</f>
        <v>×</v>
      </c>
      <c r="I14" s="180" t="s">
        <v>3</v>
      </c>
      <c r="J14" s="28">
        <f t="shared" ref="J14:L15" si="0">E11</f>
        <v>1</v>
      </c>
      <c r="K14" s="28">
        <f t="shared" si="0"/>
        <v>2</v>
      </c>
      <c r="L14" s="28">
        <f t="shared" si="0"/>
        <v>3</v>
      </c>
      <c r="M14" s="180" t="s">
        <v>4</v>
      </c>
      <c r="O14" s="2"/>
      <c r="P14" s="2"/>
      <c r="Q14" s="20"/>
    </row>
    <row r="15" spans="1:19" ht="17.100000000000001" customHeight="1" x14ac:dyDescent="0.25">
      <c r="A15" s="20"/>
      <c r="B15" s="181"/>
      <c r="C15" s="182"/>
      <c r="D15" s="27"/>
      <c r="E15" s="28"/>
      <c r="F15" s="28"/>
      <c r="G15" s="27"/>
      <c r="H15" s="187"/>
      <c r="I15" s="180"/>
      <c r="J15" s="28">
        <f t="shared" si="0"/>
        <v>4</v>
      </c>
      <c r="K15" s="28">
        <f t="shared" si="0"/>
        <v>5</v>
      </c>
      <c r="L15" s="28">
        <f t="shared" si="0"/>
        <v>6</v>
      </c>
      <c r="M15" s="180"/>
      <c r="O15" s="2"/>
      <c r="P15" s="2"/>
      <c r="Q15" s="20"/>
    </row>
    <row r="16" spans="1:19" ht="17.100000000000001" customHeight="1" x14ac:dyDescent="0.25">
      <c r="A16" s="20"/>
      <c r="B16" s="26"/>
      <c r="C16" s="2"/>
      <c r="D16" s="2"/>
      <c r="E16" s="29"/>
      <c r="F16" s="29"/>
      <c r="G16" s="29"/>
      <c r="H16" s="2"/>
      <c r="I16" s="2"/>
      <c r="J16" s="2"/>
      <c r="K16" s="2"/>
      <c r="L16" s="2"/>
      <c r="M16" s="2"/>
      <c r="N16" s="2"/>
      <c r="O16" s="2"/>
      <c r="P16" s="2"/>
      <c r="Q16" s="20"/>
    </row>
    <row r="17" spans="1:17" ht="17.100000000000001" customHeight="1" x14ac:dyDescent="0.25">
      <c r="A17" s="20"/>
      <c r="B17" s="181" t="str">
        <f>B14</f>
        <v>Matrix [A]×[B]</v>
      </c>
      <c r="C17" s="182" t="s">
        <v>2</v>
      </c>
      <c r="D17" s="183" t="s">
        <v>3</v>
      </c>
      <c r="E17" s="179" t="str">
        <f>_xlfn.CONCAT("(",E14,_xlfn.UNICHAR(215),J14,") + (",F14,_xlfn.UNICHAR(215),J15,")")</f>
        <v>(1×1) + (2×4)</v>
      </c>
      <c r="F17" s="179"/>
      <c r="G17" s="201" t="str">
        <f>_xlfn.CONCAT("(",E14,_xlfn.UNICHAR(215),K14,") + (",F14,_xlfn.UNICHAR(215),K15,")")</f>
        <v>(1×2) + (2×5)</v>
      </c>
      <c r="H17" s="201"/>
      <c r="I17" s="201"/>
      <c r="J17" s="202" t="str">
        <f>_xlfn.CONCAT("(",E14,_xlfn.UNICHAR(215),L14,") + (",F14,_xlfn.UNICHAR(215),L15,")")</f>
        <v>(1×3) + (2×6)</v>
      </c>
      <c r="K17" s="202"/>
      <c r="L17" s="202"/>
      <c r="M17" s="180" t="s">
        <v>4</v>
      </c>
      <c r="O17" s="41"/>
      <c r="P17" s="41"/>
      <c r="Q17" s="20"/>
    </row>
    <row r="18" spans="1:17" ht="17.100000000000001" customHeight="1" x14ac:dyDescent="0.25">
      <c r="A18" s="20"/>
      <c r="B18" s="181"/>
      <c r="C18" s="182"/>
      <c r="D18" s="183"/>
      <c r="E18" s="179"/>
      <c r="F18" s="179"/>
      <c r="G18" s="201"/>
      <c r="H18" s="201"/>
      <c r="I18" s="201"/>
      <c r="J18" s="202"/>
      <c r="K18" s="202"/>
      <c r="L18" s="202"/>
      <c r="M18" s="180"/>
      <c r="N18" s="42"/>
      <c r="O18" s="42"/>
      <c r="P18" s="42"/>
      <c r="Q18" s="20"/>
    </row>
    <row r="19" spans="1:17" ht="17.100000000000001" customHeight="1" x14ac:dyDescent="0.25">
      <c r="A19" s="20"/>
      <c r="B19" s="181"/>
      <c r="C19" s="182"/>
      <c r="D19" s="184"/>
      <c r="E19" s="179"/>
      <c r="F19" s="179"/>
      <c r="G19" s="201"/>
      <c r="H19" s="201"/>
      <c r="I19" s="201"/>
      <c r="J19" s="202"/>
      <c r="K19" s="202"/>
      <c r="L19" s="202"/>
      <c r="M19" s="180"/>
      <c r="N19" s="43"/>
      <c r="O19" s="43"/>
      <c r="P19" s="43"/>
      <c r="Q19" s="20"/>
    </row>
    <row r="20" spans="1:17" ht="17.100000000000001" customHeight="1" x14ac:dyDescent="0.25">
      <c r="A20" s="20"/>
      <c r="B20" s="26"/>
      <c r="C20" s="2"/>
      <c r="D20" s="2"/>
      <c r="E20" s="29"/>
      <c r="F20" s="29"/>
      <c r="G20" s="29"/>
      <c r="H20" s="2"/>
      <c r="I20" s="2"/>
      <c r="J20" s="2"/>
      <c r="K20" s="2"/>
      <c r="L20" s="2"/>
      <c r="M20" s="2"/>
      <c r="N20" s="2"/>
      <c r="O20" s="2"/>
      <c r="P20" s="2"/>
      <c r="Q20" s="20"/>
    </row>
    <row r="21" spans="1:17" ht="35.1" customHeight="1" x14ac:dyDescent="0.25">
      <c r="A21" s="20"/>
      <c r="B21" s="33" t="str">
        <f>B14</f>
        <v>Matrix [A]×[B]</v>
      </c>
      <c r="C21" s="2" t="s">
        <v>2</v>
      </c>
      <c r="D21" s="30" t="s">
        <v>3</v>
      </c>
      <c r="E21" s="34">
        <f t="array" ref="E21:G21">MMULT(E14:F14,J14:L15)</f>
        <v>9</v>
      </c>
      <c r="F21" s="44">
        <v>12</v>
      </c>
      <c r="G21" s="41">
        <v>15</v>
      </c>
      <c r="H21" s="31" t="s">
        <v>4</v>
      </c>
      <c r="I21" s="31"/>
      <c r="J21" s="31"/>
      <c r="K21" s="2"/>
      <c r="L21" s="2"/>
      <c r="M21" s="2"/>
      <c r="N21" s="2"/>
      <c r="O21" s="2"/>
      <c r="P21" s="2"/>
      <c r="Q21" s="20"/>
    </row>
    <row r="22" spans="1:17" ht="17.100000000000001" customHeight="1" thickBot="1" x14ac:dyDescent="0.3">
      <c r="A22" s="20"/>
      <c r="B22" s="35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36"/>
    </row>
    <row r="23" spans="1:17" ht="16.5" thickTop="1" x14ac:dyDescent="0.25"/>
  </sheetData>
  <sheetProtection algorithmName="SHA-512" hashValue="bs84I4z5zp6G3/lCb29j0RGFBbC3Nn7vrdlnb8/iLsSVxEGT+pvn+n0Rjl1R2HI0g/ozDxaZ4oYSz+m0cqu8sQ==" saltValue="zudA9okExZSRz1gD6OsIYQ==" spinCount="100000" sheet="1" objects="1" scenarios="1"/>
  <mergeCells count="29">
    <mergeCell ref="B2:Q2"/>
    <mergeCell ref="B11:B12"/>
    <mergeCell ref="C11:C12"/>
    <mergeCell ref="D11:D12"/>
    <mergeCell ref="H11:H12"/>
    <mergeCell ref="I11:J12"/>
    <mergeCell ref="E8:E9"/>
    <mergeCell ref="F8:F9"/>
    <mergeCell ref="G8:G9"/>
    <mergeCell ref="K11:P12"/>
    <mergeCell ref="D4:Q5"/>
    <mergeCell ref="B8:B9"/>
    <mergeCell ref="C8:C9"/>
    <mergeCell ref="D8:D9"/>
    <mergeCell ref="H8:H9"/>
    <mergeCell ref="I8:J9"/>
    <mergeCell ref="K8:P9"/>
    <mergeCell ref="M17:M19"/>
    <mergeCell ref="M14:M15"/>
    <mergeCell ref="B17:B19"/>
    <mergeCell ref="C17:C19"/>
    <mergeCell ref="D17:D19"/>
    <mergeCell ref="B14:B15"/>
    <mergeCell ref="C14:C15"/>
    <mergeCell ref="H14:H15"/>
    <mergeCell ref="I14:I15"/>
    <mergeCell ref="E17:F19"/>
    <mergeCell ref="G17:I19"/>
    <mergeCell ref="J17:L19"/>
  </mergeCells>
  <hyperlinks>
    <hyperlink ref="S2" location="'Main Page'!A1" display="Go to TOC Sheet" xr:uid="{3697940E-4CB5-4D5E-AA7C-0635F6161881}"/>
  </hyperlink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8E390-4F00-488D-9552-D53508CCA218}">
  <sheetPr codeName="Sheet5"/>
  <dimension ref="A1:S25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13" t="s">
        <v>35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5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5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5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200">
        <v>1</v>
      </c>
      <c r="F8" s="200">
        <v>2</v>
      </c>
      <c r="G8" s="200">
        <v>3</v>
      </c>
      <c r="H8" s="180" t="s">
        <v>4</v>
      </c>
      <c r="I8" s="216"/>
      <c r="J8" s="216"/>
      <c r="K8" s="166" t="str">
        <f>_xlfn.CONCAT("Enter values for Matrix [",C4,"] here")</f>
        <v>Enter values for Matrix [A] here</v>
      </c>
      <c r="L8" s="167"/>
      <c r="M8" s="167"/>
      <c r="N8" s="167"/>
      <c r="O8" s="167"/>
      <c r="P8" s="168"/>
      <c r="Q8" s="52"/>
    </row>
    <row r="9" spans="1:19" s="53" customFormat="1" ht="17.100000000000001" customHeight="1" thickBot="1" x14ac:dyDescent="0.3">
      <c r="A9" s="52"/>
      <c r="B9" s="181"/>
      <c r="C9" s="182"/>
      <c r="D9" s="183"/>
      <c r="E9" s="200"/>
      <c r="F9" s="200">
        <v>5</v>
      </c>
      <c r="G9" s="200">
        <v>6</v>
      </c>
      <c r="H9" s="180"/>
      <c r="I9" s="216"/>
      <c r="J9" s="216"/>
      <c r="K9" s="169"/>
      <c r="L9" s="170"/>
      <c r="M9" s="170"/>
      <c r="N9" s="170"/>
      <c r="O9" s="170"/>
      <c r="P9" s="171"/>
      <c r="Q9" s="52"/>
    </row>
    <row r="10" spans="1:19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0"/>
    </row>
    <row r="11" spans="1:19" ht="17.100000000000001" customHeight="1" x14ac:dyDescent="0.25">
      <c r="A11" s="50"/>
      <c r="B11" s="181" t="str">
        <f>_xlfn.CONCAT("Matrix ","[",C5,"]")</f>
        <v>Matrix [B]</v>
      </c>
      <c r="C11" s="182" t="s">
        <v>2</v>
      </c>
      <c r="D11" s="183" t="s">
        <v>3</v>
      </c>
      <c r="E11" s="200">
        <v>1</v>
      </c>
      <c r="F11" s="200"/>
      <c r="G11" s="200"/>
      <c r="H11" s="180" t="s">
        <v>4</v>
      </c>
      <c r="I11" s="216"/>
      <c r="J11" s="216"/>
      <c r="K11" s="166" t="str">
        <f>_xlfn.CONCAT("Enter values for Matrix [",C5,"] here")</f>
        <v>Enter values for Matrix [B] here</v>
      </c>
      <c r="L11" s="167"/>
      <c r="M11" s="167"/>
      <c r="N11" s="167"/>
      <c r="O11" s="167"/>
      <c r="P11" s="168"/>
      <c r="Q11" s="50"/>
    </row>
    <row r="12" spans="1:19" ht="17.100000000000001" customHeight="1" x14ac:dyDescent="0.25">
      <c r="A12" s="50"/>
      <c r="B12" s="181"/>
      <c r="C12" s="182"/>
      <c r="D12" s="183"/>
      <c r="E12" s="200">
        <v>2</v>
      </c>
      <c r="F12" s="200">
        <v>5</v>
      </c>
      <c r="G12" s="200">
        <v>6</v>
      </c>
      <c r="H12" s="180"/>
      <c r="I12" s="216"/>
      <c r="J12" s="216"/>
      <c r="K12" s="217"/>
      <c r="L12" s="218"/>
      <c r="M12" s="218"/>
      <c r="N12" s="218"/>
      <c r="O12" s="218"/>
      <c r="P12" s="219"/>
      <c r="Q12" s="50"/>
    </row>
    <row r="13" spans="1:19" ht="17.100000000000001" customHeight="1" thickBot="1" x14ac:dyDescent="0.3">
      <c r="A13" s="50"/>
      <c r="B13" s="181"/>
      <c r="C13" s="182"/>
      <c r="D13" s="184"/>
      <c r="E13" s="200">
        <v>3</v>
      </c>
      <c r="F13" s="200">
        <v>8</v>
      </c>
      <c r="G13" s="200">
        <v>9</v>
      </c>
      <c r="H13" s="199"/>
      <c r="I13" s="216"/>
      <c r="J13" s="216"/>
      <c r="K13" s="169"/>
      <c r="L13" s="170"/>
      <c r="M13" s="170"/>
      <c r="N13" s="170"/>
      <c r="O13" s="170"/>
      <c r="P13" s="171"/>
      <c r="Q13" s="50"/>
    </row>
    <row r="14" spans="1:19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0"/>
    </row>
    <row r="15" spans="1:19" ht="17.100000000000001" customHeight="1" x14ac:dyDescent="0.25">
      <c r="A15" s="50"/>
      <c r="B15" s="181" t="str">
        <f>_xlfn.CONCAT("Matrix ","[",C4,"]",_xlfn.UNICHAR(215),"[",C5,"]")</f>
        <v>Matrix [A]×[B]</v>
      </c>
      <c r="C15" s="182" t="s">
        <v>2</v>
      </c>
      <c r="D15" s="27" t="s">
        <v>3</v>
      </c>
      <c r="E15" s="55">
        <f>E8</f>
        <v>1</v>
      </c>
      <c r="F15" s="28">
        <f>F8</f>
        <v>2</v>
      </c>
      <c r="G15" s="28">
        <f>G8</f>
        <v>3</v>
      </c>
      <c r="H15" s="27" t="s">
        <v>4</v>
      </c>
      <c r="I15" s="187" t="str">
        <f>_xlfn.UNICHAR(215)</f>
        <v>×</v>
      </c>
      <c r="J15" s="183" t="s">
        <v>3</v>
      </c>
      <c r="K15" s="28">
        <f>E11</f>
        <v>1</v>
      </c>
      <c r="L15" s="180" t="s">
        <v>4</v>
      </c>
      <c r="M15" s="28"/>
      <c r="O15" s="5"/>
      <c r="P15" s="5"/>
      <c r="Q15" s="50"/>
    </row>
    <row r="16" spans="1:19" ht="17.100000000000001" customHeight="1" x14ac:dyDescent="0.25">
      <c r="A16" s="50"/>
      <c r="B16" s="181"/>
      <c r="C16" s="182"/>
      <c r="D16" s="56"/>
      <c r="E16" s="55"/>
      <c r="F16" s="28"/>
      <c r="G16" s="28"/>
      <c r="H16" s="57"/>
      <c r="I16" s="187"/>
      <c r="J16" s="183"/>
      <c r="K16" s="28">
        <f t="shared" ref="K16:K17" si="0">E12</f>
        <v>2</v>
      </c>
      <c r="L16" s="180"/>
      <c r="M16" s="28"/>
      <c r="O16" s="5"/>
      <c r="P16" s="5"/>
      <c r="Q16" s="50"/>
    </row>
    <row r="17" spans="1:17" ht="17.100000000000001" customHeight="1" x14ac:dyDescent="0.25">
      <c r="A17" s="50"/>
      <c r="B17" s="181"/>
      <c r="C17" s="182"/>
      <c r="D17" s="58"/>
      <c r="E17" s="55"/>
      <c r="F17" s="28"/>
      <c r="G17" s="28"/>
      <c r="H17" s="59"/>
      <c r="I17" s="187"/>
      <c r="J17" s="183"/>
      <c r="K17" s="28">
        <f t="shared" si="0"/>
        <v>3</v>
      </c>
      <c r="L17" s="180"/>
      <c r="M17" s="28"/>
      <c r="O17" s="5"/>
      <c r="P17" s="5"/>
      <c r="Q17" s="50"/>
    </row>
    <row r="18" spans="1:17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0"/>
    </row>
    <row r="19" spans="1:17" ht="17.100000000000001" customHeight="1" x14ac:dyDescent="0.25">
      <c r="A19" s="50"/>
      <c r="B19" s="181" t="str">
        <f>B15</f>
        <v>Matrix [A]×[B]</v>
      </c>
      <c r="C19" s="182" t="s">
        <v>2</v>
      </c>
      <c r="D19" s="183" t="s">
        <v>3</v>
      </c>
      <c r="E19" s="179" t="str">
        <f>_xlfn.CONCAT("(",E15,_xlfn.UNICHAR(215),K15,") + (",F15,_xlfn.UNICHAR(215),K16,") + (",G15,_xlfn.UNICHAR(215),K17,")")</f>
        <v>(1×1) + (2×2) + (3×3)</v>
      </c>
      <c r="F19" s="179"/>
      <c r="G19" s="179"/>
      <c r="H19" s="208" t="s">
        <v>4</v>
      </c>
      <c r="I19" s="206"/>
      <c r="J19" s="206"/>
      <c r="K19" s="206"/>
      <c r="L19" s="206"/>
      <c r="M19" s="57"/>
      <c r="N19" s="207"/>
      <c r="O19" s="207"/>
      <c r="P19" s="207"/>
      <c r="Q19" s="50"/>
    </row>
    <row r="20" spans="1:17" ht="17.100000000000001" customHeight="1" x14ac:dyDescent="0.25">
      <c r="A20" s="50"/>
      <c r="B20" s="181"/>
      <c r="C20" s="182"/>
      <c r="D20" s="183"/>
      <c r="E20" s="179"/>
      <c r="F20" s="179"/>
      <c r="G20" s="179"/>
      <c r="H20" s="208"/>
      <c r="I20" s="209"/>
      <c r="J20" s="209"/>
      <c r="K20" s="209"/>
      <c r="L20" s="209"/>
      <c r="M20" s="57"/>
      <c r="N20" s="210"/>
      <c r="O20" s="210"/>
      <c r="P20" s="210"/>
      <c r="Q20" s="50"/>
    </row>
    <row r="21" spans="1:17" ht="17.100000000000001" customHeight="1" x14ac:dyDescent="0.25">
      <c r="A21" s="50"/>
      <c r="B21" s="181"/>
      <c r="C21" s="182"/>
      <c r="D21" s="184"/>
      <c r="E21" s="179"/>
      <c r="F21" s="179"/>
      <c r="G21" s="179"/>
      <c r="H21" s="208"/>
      <c r="I21" s="211"/>
      <c r="J21" s="211"/>
      <c r="K21" s="211"/>
      <c r="L21" s="211"/>
      <c r="M21" s="57"/>
      <c r="N21" s="212"/>
      <c r="O21" s="212"/>
      <c r="P21" s="212"/>
      <c r="Q21" s="50"/>
    </row>
    <row r="22" spans="1:17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"/>
      <c r="Q22" s="50"/>
    </row>
    <row r="23" spans="1:17" ht="35.1" customHeight="1" x14ac:dyDescent="0.25">
      <c r="A23" s="50"/>
      <c r="B23" s="33" t="str">
        <f>B15</f>
        <v>Matrix [A]×[B]</v>
      </c>
      <c r="C23" s="2" t="s">
        <v>2</v>
      </c>
      <c r="D23" s="30" t="s">
        <v>3</v>
      </c>
      <c r="E23" s="34">
        <f t="array" ref="E23">MMULT(E15:G15,K15:K17)</f>
        <v>14</v>
      </c>
      <c r="F23" s="31" t="s">
        <v>4</v>
      </c>
      <c r="G23" s="41"/>
      <c r="I23" s="31"/>
      <c r="J23" s="31"/>
      <c r="K23" s="5"/>
      <c r="L23" s="5"/>
      <c r="M23" s="5"/>
      <c r="N23" s="5"/>
      <c r="O23" s="5"/>
      <c r="P23" s="5"/>
      <c r="Q23" s="50"/>
    </row>
    <row r="24" spans="1:17" ht="17.100000000000001" customHeight="1" thickBot="1" x14ac:dyDescent="0.3">
      <c r="A24" s="50"/>
      <c r="B24" s="35"/>
      <c r="C24" s="23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60"/>
    </row>
    <row r="25" spans="1:17" ht="16.5" thickTop="1" x14ac:dyDescent="0.25"/>
  </sheetData>
  <sheetProtection algorithmName="SHA-512" hashValue="MFYnfE5tWe6IbxQS8x0DsynYBozgRGMVMYlTGIbM+vbyR44lYL6oFKxHPf3wW+G2rvaKeQPTOOlyt2c7/8bcYw==" saltValue="SHOm3zy/fLtCdawtvrsfew==" spinCount="100000" sheet="1" objects="1" scenarios="1"/>
  <mergeCells count="36">
    <mergeCell ref="D4:Q5"/>
    <mergeCell ref="B8:B9"/>
    <mergeCell ref="C8:C9"/>
    <mergeCell ref="D8:D9"/>
    <mergeCell ref="H8:H9"/>
    <mergeCell ref="I8:J9"/>
    <mergeCell ref="K8:P9"/>
    <mergeCell ref="B2:Q2"/>
    <mergeCell ref="B15:B17"/>
    <mergeCell ref="C15:C17"/>
    <mergeCell ref="I15:I17"/>
    <mergeCell ref="J15:J17"/>
    <mergeCell ref="B11:B13"/>
    <mergeCell ref="C11:C13"/>
    <mergeCell ref="D11:D13"/>
    <mergeCell ref="H11:H13"/>
    <mergeCell ref="I11:J13"/>
    <mergeCell ref="E13:G13"/>
    <mergeCell ref="L15:L17"/>
    <mergeCell ref="K11:P13"/>
    <mergeCell ref="E8:E9"/>
    <mergeCell ref="F8:F9"/>
    <mergeCell ref="G8:G9"/>
    <mergeCell ref="I19:L19"/>
    <mergeCell ref="N19:P19"/>
    <mergeCell ref="H19:H21"/>
    <mergeCell ref="I20:L20"/>
    <mergeCell ref="N20:P20"/>
    <mergeCell ref="I21:L21"/>
    <mergeCell ref="N21:P21"/>
    <mergeCell ref="E11:G11"/>
    <mergeCell ref="E12:G12"/>
    <mergeCell ref="B19:B21"/>
    <mergeCell ref="C19:C21"/>
    <mergeCell ref="D19:D21"/>
    <mergeCell ref="E19:G21"/>
  </mergeCells>
  <hyperlinks>
    <hyperlink ref="S2" location="'Main Page'!A1" display="Go to TOC Sheet" xr:uid="{3D59B66E-3200-4626-A871-965D3CE22134}"/>
  </hyperlink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61E9C-1501-4ADC-9FF4-CA3E68E03662}">
  <sheetPr codeName="Sheet6"/>
  <dimension ref="A1:S25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10" width="3.7109375" style="16" customWidth="1"/>
    <col min="11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0" t="s">
        <v>36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2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5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81" t="str">
        <f>_xlfn.CONCAT("Matrix ","[",C4,"]")</f>
        <v>Matrix [A]</v>
      </c>
      <c r="C8" s="182" t="s">
        <v>2</v>
      </c>
      <c r="D8" s="183" t="s">
        <v>3</v>
      </c>
      <c r="E8" s="200">
        <v>1</v>
      </c>
      <c r="F8" s="200">
        <v>2</v>
      </c>
      <c r="G8" s="200">
        <v>3</v>
      </c>
      <c r="H8" s="180" t="s">
        <v>4</v>
      </c>
      <c r="I8" s="203"/>
      <c r="J8" s="203"/>
      <c r="K8" s="166" t="str">
        <f>_xlfn.CONCAT("Enter values for Matrix [",C4,"] here")</f>
        <v>Enter values for Matrix [A] here</v>
      </c>
      <c r="L8" s="167"/>
      <c r="M8" s="167"/>
      <c r="N8" s="167"/>
      <c r="O8" s="167"/>
      <c r="P8" s="168"/>
      <c r="Q8" s="20"/>
    </row>
    <row r="9" spans="1:19" ht="17.100000000000001" customHeight="1" thickBot="1" x14ac:dyDescent="0.3">
      <c r="A9" s="20"/>
      <c r="B9" s="181"/>
      <c r="C9" s="182"/>
      <c r="D9" s="183"/>
      <c r="E9" s="200"/>
      <c r="F9" s="200">
        <v>5</v>
      </c>
      <c r="G9" s="200">
        <v>6</v>
      </c>
      <c r="H9" s="180"/>
      <c r="I9" s="203"/>
      <c r="J9" s="203"/>
      <c r="K9" s="169"/>
      <c r="L9" s="170"/>
      <c r="M9" s="170"/>
      <c r="N9" s="170"/>
      <c r="O9" s="170"/>
      <c r="P9" s="171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81" t="str">
        <f>_xlfn.CONCAT("Matrix ","[",C5,"]")</f>
        <v>Matrix [B]</v>
      </c>
      <c r="C11" s="182" t="s">
        <v>2</v>
      </c>
      <c r="D11" s="183" t="s">
        <v>3</v>
      </c>
      <c r="E11" s="39">
        <v>1</v>
      </c>
      <c r="F11" s="39">
        <v>2</v>
      </c>
      <c r="G11" s="180" t="s">
        <v>4</v>
      </c>
      <c r="I11" s="203"/>
      <c r="J11" s="203"/>
      <c r="K11" s="166" t="str">
        <f>_xlfn.CONCAT("Enter values for Matrix [",C5,"] here")</f>
        <v>Enter values for Matrix [B] here</v>
      </c>
      <c r="L11" s="167"/>
      <c r="M11" s="167"/>
      <c r="N11" s="167"/>
      <c r="O11" s="167"/>
      <c r="P11" s="168"/>
      <c r="Q11" s="20"/>
    </row>
    <row r="12" spans="1:19" ht="17.100000000000001" customHeight="1" x14ac:dyDescent="0.25">
      <c r="A12" s="20"/>
      <c r="B12" s="181"/>
      <c r="C12" s="182"/>
      <c r="D12" s="183"/>
      <c r="E12" s="39">
        <v>3</v>
      </c>
      <c r="F12" s="39">
        <v>4</v>
      </c>
      <c r="G12" s="180"/>
      <c r="I12" s="203"/>
      <c r="J12" s="203"/>
      <c r="K12" s="217"/>
      <c r="L12" s="218"/>
      <c r="M12" s="218"/>
      <c r="N12" s="218"/>
      <c r="O12" s="218"/>
      <c r="P12" s="219"/>
      <c r="Q12" s="20"/>
    </row>
    <row r="13" spans="1:19" ht="17.100000000000001" customHeight="1" thickBot="1" x14ac:dyDescent="0.3">
      <c r="A13" s="20"/>
      <c r="B13" s="181"/>
      <c r="C13" s="182"/>
      <c r="D13" s="184"/>
      <c r="E13" s="39">
        <v>5</v>
      </c>
      <c r="F13" s="39">
        <v>6</v>
      </c>
      <c r="G13" s="199"/>
      <c r="I13" s="203"/>
      <c r="J13" s="203"/>
      <c r="K13" s="169"/>
      <c r="L13" s="170"/>
      <c r="M13" s="170"/>
      <c r="N13" s="170"/>
      <c r="O13" s="170"/>
      <c r="P13" s="171"/>
      <c r="Q13" s="20"/>
    </row>
    <row r="14" spans="1:19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0"/>
    </row>
    <row r="15" spans="1:19" ht="17.100000000000001" customHeight="1" x14ac:dyDescent="0.25">
      <c r="A15" s="20"/>
      <c r="B15" s="181" t="str">
        <f>_xlfn.CONCAT("Matrix ","[",C4,"]",_xlfn.UNICHAR(215),"[",C5,"]")</f>
        <v>Matrix [A]×[B]</v>
      </c>
      <c r="C15" s="182" t="s">
        <v>2</v>
      </c>
      <c r="D15" s="62" t="s">
        <v>3</v>
      </c>
      <c r="E15" s="28">
        <f>E8</f>
        <v>1</v>
      </c>
      <c r="F15" s="28">
        <f>F8</f>
        <v>2</v>
      </c>
      <c r="G15" s="28">
        <f>G8</f>
        <v>3</v>
      </c>
      <c r="H15" s="62" t="s">
        <v>4</v>
      </c>
      <c r="I15" s="187" t="str">
        <f>_xlfn.UNICHAR(215)</f>
        <v>×</v>
      </c>
      <c r="J15" s="183" t="s">
        <v>3</v>
      </c>
      <c r="K15" s="28">
        <f>E11</f>
        <v>1</v>
      </c>
      <c r="L15" s="28">
        <f>F11</f>
        <v>2</v>
      </c>
      <c r="M15" s="183" t="s">
        <v>4</v>
      </c>
      <c r="O15" s="2"/>
      <c r="P15" s="2"/>
      <c r="Q15" s="20"/>
    </row>
    <row r="16" spans="1:19" ht="17.100000000000001" customHeight="1" x14ac:dyDescent="0.25">
      <c r="A16" s="20"/>
      <c r="B16" s="181"/>
      <c r="C16" s="182"/>
      <c r="D16" s="56"/>
      <c r="E16" s="28"/>
      <c r="F16" s="28"/>
      <c r="G16" s="28"/>
      <c r="H16" s="57"/>
      <c r="I16" s="187"/>
      <c r="J16" s="183"/>
      <c r="K16" s="28">
        <f t="shared" ref="K16:L16" si="0">E12</f>
        <v>3</v>
      </c>
      <c r="L16" s="28">
        <f t="shared" si="0"/>
        <v>4</v>
      </c>
      <c r="M16" s="183"/>
      <c r="O16" s="2"/>
      <c r="P16" s="2"/>
      <c r="Q16" s="20"/>
    </row>
    <row r="17" spans="1:17" ht="17.100000000000001" customHeight="1" x14ac:dyDescent="0.25">
      <c r="A17" s="20"/>
      <c r="B17" s="26"/>
      <c r="C17" s="2"/>
      <c r="D17" s="56"/>
      <c r="E17" s="28"/>
      <c r="F17" s="28"/>
      <c r="G17" s="28"/>
      <c r="H17" s="57"/>
      <c r="I17" s="29"/>
      <c r="J17" s="183"/>
      <c r="K17" s="28">
        <f t="shared" ref="K17:L17" si="1">E13</f>
        <v>5</v>
      </c>
      <c r="L17" s="28">
        <f t="shared" si="1"/>
        <v>6</v>
      </c>
      <c r="M17" s="183"/>
      <c r="O17" s="2"/>
      <c r="P17" s="2"/>
      <c r="Q17" s="20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0"/>
    </row>
    <row r="19" spans="1:17" ht="17.100000000000001" customHeight="1" x14ac:dyDescent="0.25">
      <c r="A19" s="20"/>
      <c r="B19" s="181" t="str">
        <f>B15</f>
        <v>Matrix [A]×[B]</v>
      </c>
      <c r="C19" s="182" t="s">
        <v>2</v>
      </c>
      <c r="D19" s="183" t="s">
        <v>3</v>
      </c>
      <c r="E19" s="179" t="str">
        <f>_xlfn.CONCAT("(",E15,_xlfn.UNICHAR(215),K15,") + (",F15,_xlfn.UNICHAR(215),K16,") + (",G15,_xlfn.UNICHAR(215),K17,")")</f>
        <v>(1×1) + (2×3) + (3×5)</v>
      </c>
      <c r="F19" s="179"/>
      <c r="G19" s="179"/>
      <c r="H19" s="2"/>
      <c r="I19" s="201" t="str">
        <f>_xlfn.CONCAT("(",E15,_xlfn.UNICHAR(215),L15,") + (",F15,_xlfn.UNICHAR(215),L16,") + (",G15,_xlfn.UNICHAR(215),L17,")")</f>
        <v>(1×2) + (2×4) + (3×6)</v>
      </c>
      <c r="J19" s="201"/>
      <c r="K19" s="201"/>
      <c r="L19" s="201"/>
      <c r="M19" s="180" t="s">
        <v>4</v>
      </c>
      <c r="N19" s="202"/>
      <c r="O19" s="202"/>
      <c r="P19" s="202"/>
      <c r="Q19" s="20"/>
    </row>
    <row r="20" spans="1:17" ht="17.100000000000001" customHeight="1" x14ac:dyDescent="0.25">
      <c r="A20" s="20"/>
      <c r="B20" s="181"/>
      <c r="C20" s="182"/>
      <c r="D20" s="183"/>
      <c r="E20" s="179"/>
      <c r="F20" s="179"/>
      <c r="G20" s="179"/>
      <c r="H20" s="2"/>
      <c r="I20" s="201"/>
      <c r="J20" s="201"/>
      <c r="K20" s="201"/>
      <c r="L20" s="201"/>
      <c r="M20" s="180"/>
      <c r="N20" s="220"/>
      <c r="O20" s="220"/>
      <c r="P20" s="220"/>
      <c r="Q20" s="20"/>
    </row>
    <row r="21" spans="1:17" ht="17.100000000000001" customHeight="1" x14ac:dyDescent="0.25">
      <c r="A21" s="20"/>
      <c r="B21" s="181"/>
      <c r="C21" s="182"/>
      <c r="D21" s="184"/>
      <c r="E21" s="179"/>
      <c r="F21" s="179"/>
      <c r="G21" s="179"/>
      <c r="H21" s="2"/>
      <c r="I21" s="201"/>
      <c r="J21" s="201"/>
      <c r="K21" s="201"/>
      <c r="L21" s="201"/>
      <c r="M21" s="180"/>
      <c r="N21" s="221"/>
      <c r="O21" s="221"/>
      <c r="P21" s="221"/>
      <c r="Q21" s="20"/>
    </row>
    <row r="22" spans="1:17" ht="17.100000000000001" customHeight="1" x14ac:dyDescent="0.25">
      <c r="A22" s="20"/>
      <c r="B22" s="26"/>
      <c r="C22" s="2"/>
      <c r="D22" s="2"/>
      <c r="E22" s="29"/>
      <c r="F22" s="29"/>
      <c r="G22" s="29"/>
      <c r="H22" s="2"/>
      <c r="I22" s="2"/>
      <c r="J22" s="2"/>
      <c r="K22" s="2"/>
      <c r="L22" s="2"/>
      <c r="M22" s="2"/>
      <c r="N22" s="2"/>
      <c r="O22" s="2"/>
      <c r="P22" s="2"/>
      <c r="Q22" s="20"/>
    </row>
    <row r="23" spans="1:17" ht="35.1" customHeight="1" x14ac:dyDescent="0.25">
      <c r="A23" s="20"/>
      <c r="B23" s="33" t="str">
        <f>B15</f>
        <v>Matrix [A]×[B]</v>
      </c>
      <c r="C23" s="2" t="s">
        <v>2</v>
      </c>
      <c r="D23" s="30" t="s">
        <v>3</v>
      </c>
      <c r="E23" s="34">
        <f t="array" ref="E23:F23">MMULT(E15:G15,K15:L17)</f>
        <v>22</v>
      </c>
      <c r="F23" s="44">
        <v>28</v>
      </c>
      <c r="G23" s="31" t="s">
        <v>4</v>
      </c>
      <c r="I23" s="31"/>
      <c r="J23" s="31"/>
      <c r="K23" s="2"/>
      <c r="L23" s="2"/>
      <c r="M23" s="2"/>
      <c r="N23" s="2"/>
      <c r="O23" s="2"/>
      <c r="P23" s="2"/>
      <c r="Q23" s="20"/>
    </row>
    <row r="24" spans="1:17" ht="17.100000000000001" customHeight="1" thickBot="1" x14ac:dyDescent="0.3">
      <c r="A24" s="20"/>
      <c r="B24" s="35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36"/>
    </row>
    <row r="25" spans="1:17" ht="16.5" thickTop="1" x14ac:dyDescent="0.25"/>
  </sheetData>
  <sheetProtection algorithmName="SHA-512" hashValue="5ymRYDCe4/M/CT8XqtMDKQLerBuM5OQeBdfWV+4hn179q10pZbW5pGDTS2PCsqyhDREqCkuEYLj+BP1JnXipjg==" saltValue="JeInUGSWHF0/GZoXwJI1GQ==" spinCount="100000" sheet="1" objects="1" scenarios="1"/>
  <mergeCells count="31">
    <mergeCell ref="K8:P9"/>
    <mergeCell ref="B8:B9"/>
    <mergeCell ref="C8:C9"/>
    <mergeCell ref="D8:D9"/>
    <mergeCell ref="H8:H9"/>
    <mergeCell ref="I8:J9"/>
    <mergeCell ref="B2:Q2"/>
    <mergeCell ref="B15:B16"/>
    <mergeCell ref="C15:C16"/>
    <mergeCell ref="I15:I16"/>
    <mergeCell ref="B11:B13"/>
    <mergeCell ref="C11:C13"/>
    <mergeCell ref="D11:D13"/>
    <mergeCell ref="G11:G13"/>
    <mergeCell ref="I11:J13"/>
    <mergeCell ref="E8:E9"/>
    <mergeCell ref="F8:F9"/>
    <mergeCell ref="G8:G9"/>
    <mergeCell ref="J15:J17"/>
    <mergeCell ref="M15:M17"/>
    <mergeCell ref="K11:P13"/>
    <mergeCell ref="D4:Q5"/>
    <mergeCell ref="N20:P20"/>
    <mergeCell ref="N21:P21"/>
    <mergeCell ref="I19:L21"/>
    <mergeCell ref="B19:B21"/>
    <mergeCell ref="C19:C21"/>
    <mergeCell ref="D19:D21"/>
    <mergeCell ref="N19:P19"/>
    <mergeCell ref="E19:G21"/>
    <mergeCell ref="M19:M21"/>
  </mergeCells>
  <hyperlinks>
    <hyperlink ref="S2" location="'Main Page'!A1" display="Go to TOC Sheet" xr:uid="{DC6C7399-F8CD-4005-BA1A-EC07CAEB021B}"/>
  </hyperlinks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DD6F8-6F0D-4BE5-9543-8AC74206F634}">
  <sheetPr codeName="Sheet7"/>
  <dimension ref="A1:V25"/>
  <sheetViews>
    <sheetView zoomScale="115" zoomScaleNormal="115" workbookViewId="0">
      <selection activeCell="V2" sqref="V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10" width="3.7109375" style="16" customWidth="1"/>
    <col min="11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5.140625" style="16" bestFit="1" customWidth="1"/>
    <col min="20" max="20" width="2.7109375" style="16" customWidth="1"/>
    <col min="21" max="21" width="9.140625" style="16"/>
    <col min="22" max="22" width="19" style="16" customWidth="1"/>
    <col min="23" max="16384" width="9.140625" style="16"/>
  </cols>
  <sheetData>
    <row r="1" spans="1:22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</row>
    <row r="2" spans="1:22" ht="17.25" thickTop="1" thickBot="1" x14ac:dyDescent="0.3">
      <c r="B2" s="140" t="s">
        <v>37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2"/>
      <c r="V2" s="18" t="s">
        <v>52</v>
      </c>
    </row>
    <row r="3" spans="1:22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</row>
    <row r="4" spans="1:22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74"/>
    </row>
    <row r="5" spans="1:22" ht="24.95" customHeight="1" thickBot="1" x14ac:dyDescent="0.3">
      <c r="A5" s="2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205"/>
    </row>
    <row r="6" spans="1:22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</row>
    <row r="7" spans="1:22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5"/>
    </row>
    <row r="8" spans="1:22" ht="17.100000000000001" customHeight="1" x14ac:dyDescent="0.25">
      <c r="A8" s="20"/>
      <c r="B8" s="181" t="str">
        <f>_xlfn.CONCAT("Matrix ","[",C4,"]")</f>
        <v>Matrix [A]</v>
      </c>
      <c r="C8" s="182" t="s">
        <v>2</v>
      </c>
      <c r="D8" s="183" t="s">
        <v>3</v>
      </c>
      <c r="E8" s="200">
        <v>1</v>
      </c>
      <c r="F8" s="200">
        <v>2</v>
      </c>
      <c r="G8" s="200">
        <v>3</v>
      </c>
      <c r="H8" s="180" t="s">
        <v>4</v>
      </c>
      <c r="I8" s="203"/>
      <c r="J8" s="203"/>
      <c r="K8" s="166" t="str">
        <f>_xlfn.CONCAT("Enter values for Matrix [",C4,"] here")</f>
        <v>Enter values for Matrix [A] here</v>
      </c>
      <c r="L8" s="167"/>
      <c r="M8" s="167"/>
      <c r="N8" s="167"/>
      <c r="O8" s="167"/>
      <c r="P8" s="168"/>
      <c r="Q8" s="2"/>
      <c r="R8" s="2"/>
      <c r="S8" s="2"/>
      <c r="T8" s="20"/>
    </row>
    <row r="9" spans="1:22" ht="17.100000000000001" customHeight="1" thickBot="1" x14ac:dyDescent="0.3">
      <c r="A9" s="20"/>
      <c r="B9" s="181"/>
      <c r="C9" s="182"/>
      <c r="D9" s="183"/>
      <c r="E9" s="200"/>
      <c r="F9" s="200">
        <v>5</v>
      </c>
      <c r="G9" s="200">
        <v>6</v>
      </c>
      <c r="H9" s="180"/>
      <c r="I9" s="203"/>
      <c r="J9" s="203"/>
      <c r="K9" s="169"/>
      <c r="L9" s="170"/>
      <c r="M9" s="170"/>
      <c r="N9" s="170"/>
      <c r="O9" s="170"/>
      <c r="P9" s="171"/>
      <c r="Q9" s="2"/>
      <c r="R9" s="2"/>
      <c r="S9" s="2"/>
      <c r="T9" s="20"/>
    </row>
    <row r="10" spans="1:22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0"/>
    </row>
    <row r="11" spans="1:22" ht="17.100000000000001" customHeight="1" x14ac:dyDescent="0.25">
      <c r="A11" s="20"/>
      <c r="B11" s="181" t="str">
        <f>_xlfn.CONCAT("Matrix ","[",C5,"]")</f>
        <v>Matrix [B]</v>
      </c>
      <c r="C11" s="182" t="s">
        <v>2</v>
      </c>
      <c r="D11" s="183" t="s">
        <v>3</v>
      </c>
      <c r="E11" s="39">
        <v>1</v>
      </c>
      <c r="F11" s="39">
        <v>2</v>
      </c>
      <c r="G11" s="39">
        <v>3</v>
      </c>
      <c r="H11" s="180" t="s">
        <v>4</v>
      </c>
      <c r="I11" s="203"/>
      <c r="J11" s="203"/>
      <c r="K11" s="166" t="str">
        <f>_xlfn.CONCAT("Enter values for Matrix [",C5,"] here")</f>
        <v>Enter values for Matrix [B] here</v>
      </c>
      <c r="L11" s="167"/>
      <c r="M11" s="167"/>
      <c r="N11" s="167"/>
      <c r="O11" s="167"/>
      <c r="P11" s="168"/>
      <c r="Q11" s="2"/>
      <c r="R11" s="2"/>
      <c r="S11" s="2"/>
      <c r="T11" s="20"/>
    </row>
    <row r="12" spans="1:22" ht="17.100000000000001" customHeight="1" x14ac:dyDescent="0.25">
      <c r="A12" s="20"/>
      <c r="B12" s="181"/>
      <c r="C12" s="182"/>
      <c r="D12" s="183"/>
      <c r="E12" s="39">
        <v>4</v>
      </c>
      <c r="F12" s="39">
        <v>5</v>
      </c>
      <c r="G12" s="39">
        <v>6</v>
      </c>
      <c r="H12" s="180"/>
      <c r="I12" s="203"/>
      <c r="J12" s="203"/>
      <c r="K12" s="217"/>
      <c r="L12" s="218"/>
      <c r="M12" s="218"/>
      <c r="N12" s="218"/>
      <c r="O12" s="218"/>
      <c r="P12" s="219"/>
      <c r="Q12" s="2"/>
      <c r="R12" s="2"/>
      <c r="S12" s="2"/>
      <c r="T12" s="20"/>
    </row>
    <row r="13" spans="1:22" ht="17.100000000000001" customHeight="1" thickBot="1" x14ac:dyDescent="0.3">
      <c r="A13" s="20"/>
      <c r="B13" s="181"/>
      <c r="C13" s="182"/>
      <c r="D13" s="184"/>
      <c r="E13" s="39">
        <v>7</v>
      </c>
      <c r="F13" s="39">
        <v>8</v>
      </c>
      <c r="G13" s="39">
        <v>9</v>
      </c>
      <c r="H13" s="199"/>
      <c r="I13" s="203"/>
      <c r="J13" s="203"/>
      <c r="K13" s="169"/>
      <c r="L13" s="170"/>
      <c r="M13" s="170"/>
      <c r="N13" s="170"/>
      <c r="O13" s="170"/>
      <c r="P13" s="171"/>
      <c r="Q13" s="2"/>
      <c r="R13" s="2"/>
      <c r="S13" s="2"/>
      <c r="T13" s="20"/>
    </row>
    <row r="14" spans="1:22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0"/>
    </row>
    <row r="15" spans="1:22" ht="17.100000000000001" customHeight="1" x14ac:dyDescent="0.25">
      <c r="A15" s="20"/>
      <c r="B15" s="181" t="str">
        <f>_xlfn.CONCAT("Matrix ","[",C4,"]",_xlfn.UNICHAR(215),"[",C5,"]")</f>
        <v>Matrix [A]×[B]</v>
      </c>
      <c r="C15" s="182" t="s">
        <v>2</v>
      </c>
      <c r="D15" s="27" t="s">
        <v>3</v>
      </c>
      <c r="E15" s="28">
        <f>E8</f>
        <v>1</v>
      </c>
      <c r="F15" s="28">
        <f>F8</f>
        <v>2</v>
      </c>
      <c r="G15" s="28">
        <f>G8</f>
        <v>3</v>
      </c>
      <c r="H15" s="27" t="s">
        <v>4</v>
      </c>
      <c r="I15" s="187" t="str">
        <f>_xlfn.UNICHAR(215)</f>
        <v>×</v>
      </c>
      <c r="J15" s="183" t="s">
        <v>3</v>
      </c>
      <c r="K15" s="28">
        <f>E11</f>
        <v>1</v>
      </c>
      <c r="L15" s="28">
        <f t="shared" ref="L15:M17" si="0">F11</f>
        <v>2</v>
      </c>
      <c r="M15" s="28">
        <f t="shared" si="0"/>
        <v>3</v>
      </c>
      <c r="N15" s="180" t="s">
        <v>4</v>
      </c>
      <c r="O15" s="2"/>
      <c r="P15" s="2"/>
      <c r="Q15" s="2"/>
      <c r="R15" s="2"/>
      <c r="S15" s="2"/>
      <c r="T15" s="20"/>
    </row>
    <row r="16" spans="1:22" ht="17.100000000000001" customHeight="1" x14ac:dyDescent="0.25">
      <c r="A16" s="20"/>
      <c r="B16" s="181"/>
      <c r="C16" s="182"/>
      <c r="D16" s="30"/>
      <c r="E16" s="28"/>
      <c r="F16" s="28"/>
      <c r="G16" s="28"/>
      <c r="H16" s="31"/>
      <c r="I16" s="187"/>
      <c r="J16" s="183"/>
      <c r="K16" s="28">
        <f t="shared" ref="K16:K17" si="1">E12</f>
        <v>4</v>
      </c>
      <c r="L16" s="28">
        <f t="shared" si="0"/>
        <v>5</v>
      </c>
      <c r="M16" s="28">
        <f t="shared" si="0"/>
        <v>6</v>
      </c>
      <c r="N16" s="180"/>
      <c r="O16" s="2"/>
      <c r="P16" s="2"/>
      <c r="Q16" s="2"/>
      <c r="R16" s="2"/>
      <c r="S16" s="2"/>
      <c r="T16" s="20"/>
    </row>
    <row r="17" spans="1:20" ht="17.100000000000001" customHeight="1" x14ac:dyDescent="0.25">
      <c r="A17" s="20"/>
      <c r="B17" s="181"/>
      <c r="C17" s="182"/>
      <c r="D17" s="63"/>
      <c r="E17" s="28"/>
      <c r="F17" s="28"/>
      <c r="G17" s="28"/>
      <c r="H17" s="64"/>
      <c r="I17" s="187"/>
      <c r="J17" s="183"/>
      <c r="K17" s="28">
        <f t="shared" si="1"/>
        <v>7</v>
      </c>
      <c r="L17" s="28">
        <f t="shared" si="0"/>
        <v>8</v>
      </c>
      <c r="M17" s="28">
        <f t="shared" si="0"/>
        <v>9</v>
      </c>
      <c r="N17" s="180"/>
      <c r="O17" s="2"/>
      <c r="P17" s="2"/>
      <c r="Q17" s="2"/>
      <c r="R17" s="2"/>
      <c r="S17" s="2"/>
      <c r="T17" s="20"/>
    </row>
    <row r="18" spans="1:20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0"/>
    </row>
    <row r="19" spans="1:20" ht="17.100000000000001" customHeight="1" x14ac:dyDescent="0.25">
      <c r="A19" s="20"/>
      <c r="B19" s="181" t="str">
        <f>B15</f>
        <v>Matrix [A]×[B]</v>
      </c>
      <c r="C19" s="182" t="s">
        <v>2</v>
      </c>
      <c r="D19" s="183" t="s">
        <v>3</v>
      </c>
      <c r="E19" s="179" t="str">
        <f>_xlfn.CONCAT("(",E15,_xlfn.UNICHAR(215),K15,") + (",F15,_xlfn.UNICHAR(215),K16,") + (",G15,_xlfn.UNICHAR(215),K17,")")</f>
        <v>(1×1) + (2×4) + (3×7)</v>
      </c>
      <c r="F19" s="179"/>
      <c r="G19" s="179"/>
      <c r="H19" s="2"/>
      <c r="I19" s="201" t="str">
        <f>_xlfn.CONCAT("(",E15,_xlfn.UNICHAR(215),L15,") + (",F15,_xlfn.UNICHAR(215),L16,") + (",G15,_xlfn.UNICHAR(215),L17,")")</f>
        <v>(1×2) + (2×5) + (3×8)</v>
      </c>
      <c r="J19" s="201"/>
      <c r="K19" s="201"/>
      <c r="L19" s="201"/>
      <c r="M19" s="31"/>
      <c r="N19" s="202" t="str">
        <f>_xlfn.CONCAT("(",E15,_xlfn.UNICHAR(215),M15,") + (",F15,_xlfn.UNICHAR(215),M16,") + (",G15,_xlfn.UNICHAR(215),M17,")")</f>
        <v>(1×3) + (2×6) + (3×9)</v>
      </c>
      <c r="O19" s="202"/>
      <c r="P19" s="202"/>
      <c r="Q19" s="202"/>
      <c r="R19" s="202"/>
      <c r="S19" s="180" t="s">
        <v>4</v>
      </c>
      <c r="T19" s="20"/>
    </row>
    <row r="20" spans="1:20" ht="17.100000000000001" customHeight="1" x14ac:dyDescent="0.25">
      <c r="A20" s="20"/>
      <c r="B20" s="181"/>
      <c r="C20" s="182"/>
      <c r="D20" s="183"/>
      <c r="E20" s="179"/>
      <c r="F20" s="179"/>
      <c r="G20" s="179"/>
      <c r="H20" s="2"/>
      <c r="I20" s="201"/>
      <c r="J20" s="201"/>
      <c r="K20" s="201"/>
      <c r="L20" s="201"/>
      <c r="M20" s="31"/>
      <c r="N20" s="202"/>
      <c r="O20" s="202"/>
      <c r="P20" s="202"/>
      <c r="Q20" s="202"/>
      <c r="R20" s="202"/>
      <c r="S20" s="180"/>
      <c r="T20" s="20"/>
    </row>
    <row r="21" spans="1:20" ht="17.100000000000001" customHeight="1" x14ac:dyDescent="0.25">
      <c r="A21" s="20"/>
      <c r="B21" s="181"/>
      <c r="C21" s="182"/>
      <c r="D21" s="184"/>
      <c r="E21" s="179"/>
      <c r="F21" s="179"/>
      <c r="G21" s="179"/>
      <c r="H21" s="2"/>
      <c r="I21" s="201"/>
      <c r="J21" s="201"/>
      <c r="K21" s="201"/>
      <c r="L21" s="201"/>
      <c r="M21" s="31"/>
      <c r="N21" s="202"/>
      <c r="O21" s="202"/>
      <c r="P21" s="202"/>
      <c r="Q21" s="202"/>
      <c r="R21" s="202"/>
      <c r="S21" s="180"/>
      <c r="T21" s="20"/>
    </row>
    <row r="22" spans="1:20" ht="17.100000000000001" customHeight="1" x14ac:dyDescent="0.25">
      <c r="A22" s="20"/>
      <c r="B22" s="26"/>
      <c r="C22" s="2"/>
      <c r="D22" s="2"/>
      <c r="E22" s="29"/>
      <c r="F22" s="29"/>
      <c r="G22" s="29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0"/>
    </row>
    <row r="23" spans="1:20" ht="35.1" customHeight="1" x14ac:dyDescent="0.25">
      <c r="A23" s="20"/>
      <c r="B23" s="33" t="str">
        <f>B15</f>
        <v>Matrix [A]×[B]</v>
      </c>
      <c r="C23" s="2" t="s">
        <v>2</v>
      </c>
      <c r="D23" s="30" t="s">
        <v>3</v>
      </c>
      <c r="E23" s="34">
        <f t="array" ref="E23:G23">MMULT(E15:G15,K15:M17)</f>
        <v>30</v>
      </c>
      <c r="F23" s="44">
        <v>36</v>
      </c>
      <c r="G23" s="41">
        <v>42</v>
      </c>
      <c r="H23" s="31" t="s">
        <v>4</v>
      </c>
      <c r="I23" s="31"/>
      <c r="J23" s="31"/>
      <c r="K23" s="2"/>
      <c r="L23" s="2"/>
      <c r="M23" s="2"/>
      <c r="N23" s="2"/>
      <c r="O23" s="2"/>
      <c r="P23" s="2"/>
      <c r="Q23" s="2"/>
      <c r="R23" s="2"/>
      <c r="S23" s="2"/>
      <c r="T23" s="20"/>
    </row>
    <row r="24" spans="1:20" ht="17.100000000000001" customHeight="1" thickBot="1" x14ac:dyDescent="0.3">
      <c r="A24" s="20"/>
      <c r="B24" s="35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36"/>
    </row>
    <row r="25" spans="1:20" ht="16.5" thickTop="1" x14ac:dyDescent="0.25">
      <c r="R25" s="2"/>
      <c r="S25" s="2"/>
    </row>
  </sheetData>
  <sheetProtection algorithmName="SHA-512" hashValue="k1R+R3bRpcz/CteyQ+zoef2CRIuBjDGLldB8tqjuiN238mVtM0xK9LxEeMjvTG4MyMd2dSYcQb7HtLGqD+4WJg==" saltValue="nbuyGE4pp3oiw6FeRe5uug==" spinCount="100000" sheet="1" objects="1" scenarios="1"/>
  <mergeCells count="29">
    <mergeCell ref="B2:T2"/>
    <mergeCell ref="B11:B13"/>
    <mergeCell ref="C11:C13"/>
    <mergeCell ref="D11:D13"/>
    <mergeCell ref="H11:H13"/>
    <mergeCell ref="I11:J13"/>
    <mergeCell ref="E8:E9"/>
    <mergeCell ref="F8:F9"/>
    <mergeCell ref="G8:G9"/>
    <mergeCell ref="D4:T5"/>
    <mergeCell ref="B8:B9"/>
    <mergeCell ref="C8:C9"/>
    <mergeCell ref="D8:D9"/>
    <mergeCell ref="H8:H9"/>
    <mergeCell ref="I8:J9"/>
    <mergeCell ref="K8:P9"/>
    <mergeCell ref="S19:S21"/>
    <mergeCell ref="I19:L21"/>
    <mergeCell ref="N15:N17"/>
    <mergeCell ref="K11:P13"/>
    <mergeCell ref="B19:B21"/>
    <mergeCell ref="C19:C21"/>
    <mergeCell ref="D19:D21"/>
    <mergeCell ref="N19:R21"/>
    <mergeCell ref="B15:B17"/>
    <mergeCell ref="C15:C17"/>
    <mergeCell ref="I15:I17"/>
    <mergeCell ref="J15:J17"/>
    <mergeCell ref="E19:G21"/>
  </mergeCells>
  <hyperlinks>
    <hyperlink ref="V2" location="'Main Page'!A1" display="Go to TOC Sheet" xr:uid="{F55B1CE4-E79D-4F76-A60A-FCE1A8A9B98A}"/>
  </hyperlinks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E84F8-2BBA-4345-808E-0A68A097D1DA}">
  <sheetPr codeName="Sheet8"/>
  <dimension ref="A1:Q23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9" width="3.7109375" style="45" customWidth="1"/>
    <col min="10" max="10" width="7.7109375" style="45" customWidth="1"/>
    <col min="11" max="11" width="5.140625" style="45" bestFit="1" customWidth="1"/>
    <col min="12" max="12" width="2.7109375" style="45" customWidth="1"/>
    <col min="13" max="13" width="6.7109375" style="45" customWidth="1"/>
    <col min="14" max="14" width="5.140625" style="45" bestFit="1" customWidth="1"/>
    <col min="15" max="15" width="2.7109375" style="45" customWidth="1"/>
    <col min="16" max="16" width="9.140625" style="45"/>
    <col min="17" max="17" width="19" style="45" customWidth="1"/>
    <col min="18" max="16384" width="9.140625" style="45"/>
  </cols>
  <sheetData>
    <row r="1" spans="1:17" ht="16.5" thickBot="1" x14ac:dyDescent="0.3">
      <c r="P1" s="5"/>
      <c r="Q1" s="5"/>
    </row>
    <row r="2" spans="1:17" ht="17.25" thickTop="1" thickBot="1" x14ac:dyDescent="0.3">
      <c r="B2" s="213" t="s">
        <v>38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5"/>
      <c r="P2" s="65"/>
      <c r="Q2" s="18" t="s">
        <v>52</v>
      </c>
    </row>
    <row r="3" spans="1:17" ht="17.25" thickTop="1" thickBot="1" x14ac:dyDescent="0.3">
      <c r="B3" s="48"/>
      <c r="C3" s="19"/>
      <c r="P3" s="5"/>
      <c r="Q3" s="5"/>
    </row>
    <row r="4" spans="1:17" ht="24.95" customHeight="1" thickTop="1" x14ac:dyDescent="0.25">
      <c r="A4" s="50"/>
      <c r="B4" s="21" t="s">
        <v>5</v>
      </c>
      <c r="C4" s="37" t="s">
        <v>0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65"/>
      <c r="Q4" s="5"/>
    </row>
    <row r="5" spans="1:17" ht="24.95" customHeight="1" thickBot="1" x14ac:dyDescent="0.3">
      <c r="A5" s="50"/>
      <c r="B5" s="22" t="s">
        <v>6</v>
      </c>
      <c r="C5" s="38" t="s">
        <v>1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65"/>
      <c r="Q5" s="5"/>
    </row>
    <row r="6" spans="1:17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5"/>
      <c r="Q6" s="5"/>
    </row>
    <row r="7" spans="1:17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1"/>
      <c r="P7" s="5"/>
      <c r="Q7" s="5"/>
    </row>
    <row r="8" spans="1:17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200">
        <v>1</v>
      </c>
      <c r="F8" s="200"/>
      <c r="G8" s="180" t="s">
        <v>4</v>
      </c>
      <c r="H8" s="156" t="s">
        <v>7</v>
      </c>
      <c r="I8" s="147"/>
      <c r="J8" s="188" t="str">
        <f>_xlfn.CONCAT("Enter values for Matrix [",C4,"] here")</f>
        <v>Enter values for Matrix [A] here</v>
      </c>
      <c r="K8" s="189"/>
      <c r="L8" s="189"/>
      <c r="M8" s="189"/>
      <c r="N8" s="190"/>
      <c r="O8" s="52"/>
      <c r="P8" s="66"/>
      <c r="Q8" s="66"/>
    </row>
    <row r="9" spans="1:17" s="53" customFormat="1" ht="17.100000000000001" customHeight="1" thickBot="1" x14ac:dyDescent="0.3">
      <c r="A9" s="52"/>
      <c r="B9" s="181"/>
      <c r="C9" s="182"/>
      <c r="D9" s="184"/>
      <c r="E9" s="200">
        <v>2</v>
      </c>
      <c r="F9" s="200"/>
      <c r="G9" s="199"/>
      <c r="H9" s="156"/>
      <c r="I9" s="147"/>
      <c r="J9" s="191"/>
      <c r="K9" s="192"/>
      <c r="L9" s="192"/>
      <c r="M9" s="192"/>
      <c r="N9" s="193"/>
      <c r="O9" s="52"/>
      <c r="P9" s="66"/>
      <c r="Q9" s="66"/>
    </row>
    <row r="10" spans="1:17" ht="17.100000000000001" customHeight="1" thickBot="1" x14ac:dyDescent="0.3">
      <c r="A10" s="50"/>
      <c r="B10" s="26"/>
      <c r="C10" s="2"/>
      <c r="D10" s="5"/>
      <c r="E10" s="54"/>
      <c r="F10" s="54"/>
      <c r="G10" s="5"/>
      <c r="H10" s="5"/>
      <c r="I10" s="5"/>
      <c r="J10" s="5"/>
      <c r="K10" s="5"/>
      <c r="L10" s="5"/>
      <c r="M10" s="5"/>
      <c r="N10" s="5"/>
      <c r="O10" s="50"/>
      <c r="P10" s="5"/>
      <c r="Q10" s="5"/>
    </row>
    <row r="11" spans="1:17" ht="17.100000000000001" customHeight="1" x14ac:dyDescent="0.25">
      <c r="A11" s="50"/>
      <c r="B11" s="181" t="str">
        <f>_xlfn.CONCAT("Matrix ","[",C5,"]")</f>
        <v>Matrix [B]</v>
      </c>
      <c r="C11" s="182" t="s">
        <v>2</v>
      </c>
      <c r="D11" s="183" t="s">
        <v>3</v>
      </c>
      <c r="E11" s="200">
        <v>1</v>
      </c>
      <c r="F11" s="200">
        <v>2</v>
      </c>
      <c r="G11" s="180" t="s">
        <v>4</v>
      </c>
      <c r="H11" s="156" t="s">
        <v>7</v>
      </c>
      <c r="I11" s="147"/>
      <c r="J11" s="188" t="str">
        <f>_xlfn.CONCAT("Enter values for Matrix [",C5,"] here")</f>
        <v>Enter values for Matrix [B] here</v>
      </c>
      <c r="K11" s="189"/>
      <c r="L11" s="189"/>
      <c r="M11" s="189"/>
      <c r="N11" s="190"/>
      <c r="O11" s="50"/>
      <c r="P11" s="5"/>
      <c r="Q11" s="5"/>
    </row>
    <row r="12" spans="1:17" ht="17.100000000000001" customHeight="1" thickBot="1" x14ac:dyDescent="0.3">
      <c r="A12" s="50"/>
      <c r="B12" s="181"/>
      <c r="C12" s="182"/>
      <c r="D12" s="184"/>
      <c r="E12" s="200"/>
      <c r="F12" s="200"/>
      <c r="G12" s="199"/>
      <c r="H12" s="156"/>
      <c r="I12" s="147"/>
      <c r="J12" s="191"/>
      <c r="K12" s="192"/>
      <c r="L12" s="192"/>
      <c r="M12" s="192"/>
      <c r="N12" s="193"/>
      <c r="O12" s="50"/>
      <c r="P12" s="5"/>
      <c r="Q12" s="5"/>
    </row>
    <row r="13" spans="1:17" ht="17.100000000000001" customHeight="1" x14ac:dyDescent="0.25">
      <c r="A13" s="50"/>
      <c r="B13" s="26"/>
      <c r="C13" s="2"/>
      <c r="D13" s="5"/>
      <c r="E13" s="54"/>
      <c r="F13" s="54"/>
      <c r="G13" s="5"/>
      <c r="H13" s="5"/>
      <c r="I13" s="5"/>
      <c r="J13" s="5"/>
      <c r="K13" s="5"/>
      <c r="L13" s="5"/>
      <c r="M13" s="5"/>
      <c r="N13" s="5"/>
      <c r="O13" s="50"/>
      <c r="P13" s="5"/>
      <c r="Q13" s="5"/>
    </row>
    <row r="14" spans="1:17" ht="17.100000000000001" customHeight="1" x14ac:dyDescent="0.25">
      <c r="A14" s="50"/>
      <c r="B14" s="181" t="str">
        <f>_xlfn.CONCAT("Matrix ","[",C4,"]",_xlfn.UNICHAR(215),"[",C5,"]")</f>
        <v>Matrix [A]×[B]</v>
      </c>
      <c r="C14" s="182" t="s">
        <v>2</v>
      </c>
      <c r="D14" s="183" t="s">
        <v>3</v>
      </c>
      <c r="E14" s="28">
        <f>E8</f>
        <v>1</v>
      </c>
      <c r="F14" s="180" t="s">
        <v>4</v>
      </c>
      <c r="G14" s="187" t="str">
        <f>_xlfn.UNICHAR(215)</f>
        <v>×</v>
      </c>
      <c r="H14" s="27" t="s">
        <v>3</v>
      </c>
      <c r="I14" s="28">
        <f>E11</f>
        <v>1</v>
      </c>
      <c r="J14" s="28">
        <f>F11</f>
        <v>2</v>
      </c>
      <c r="K14" s="27" t="s">
        <v>4</v>
      </c>
      <c r="O14" s="50"/>
      <c r="P14" s="5"/>
      <c r="Q14" s="5"/>
    </row>
    <row r="15" spans="1:17" ht="17.100000000000001" customHeight="1" x14ac:dyDescent="0.25">
      <c r="A15" s="50"/>
      <c r="B15" s="181"/>
      <c r="C15" s="182"/>
      <c r="D15" s="184"/>
      <c r="E15" s="28">
        <f>E9</f>
        <v>2</v>
      </c>
      <c r="F15" s="199"/>
      <c r="G15" s="187"/>
      <c r="H15" s="56"/>
      <c r="I15" s="28"/>
      <c r="J15" s="28"/>
      <c r="K15" s="57"/>
      <c r="O15" s="50"/>
      <c r="P15" s="5"/>
      <c r="Q15" s="5"/>
    </row>
    <row r="16" spans="1:17" ht="17.100000000000001" customHeight="1" x14ac:dyDescent="0.25">
      <c r="A16" s="50"/>
      <c r="B16" s="26"/>
      <c r="C16" s="2"/>
      <c r="D16" s="5"/>
      <c r="E16" s="54"/>
      <c r="F16" s="54"/>
      <c r="G16" s="5"/>
      <c r="H16" s="5"/>
      <c r="I16" s="5"/>
      <c r="J16" s="5"/>
      <c r="K16" s="5"/>
      <c r="L16" s="5"/>
      <c r="M16" s="5"/>
      <c r="N16" s="5"/>
      <c r="O16" s="50"/>
      <c r="P16" s="5"/>
      <c r="Q16" s="5"/>
    </row>
    <row r="17" spans="1:17" ht="17.100000000000001" customHeight="1" x14ac:dyDescent="0.25">
      <c r="A17" s="50"/>
      <c r="B17" s="181" t="str">
        <f>B14</f>
        <v>Matrix [A]×[B]</v>
      </c>
      <c r="C17" s="182" t="s">
        <v>2</v>
      </c>
      <c r="D17" s="183" t="s">
        <v>3</v>
      </c>
      <c r="E17" s="179" t="str">
        <f>_xlfn.CONCAT("(",E14,_xlfn.UNICHAR(215),I14,")")</f>
        <v>(1×1)</v>
      </c>
      <c r="F17" s="179"/>
      <c r="G17" s="5"/>
      <c r="H17" s="185" t="str">
        <f>_xlfn.CONCAT("(",E14,_xlfn.UNICHAR(215),J14,")")</f>
        <v>(1×2)</v>
      </c>
      <c r="I17" s="185"/>
      <c r="J17" s="185"/>
      <c r="K17" s="208" t="s">
        <v>4</v>
      </c>
      <c r="L17" s="5"/>
      <c r="M17" s="5"/>
      <c r="N17" s="5"/>
      <c r="O17" s="50"/>
      <c r="P17" s="5"/>
      <c r="Q17" s="5"/>
    </row>
    <row r="18" spans="1:17" ht="17.100000000000001" customHeight="1" x14ac:dyDescent="0.25">
      <c r="A18" s="50"/>
      <c r="B18" s="181"/>
      <c r="C18" s="182"/>
      <c r="D18" s="184"/>
      <c r="E18" s="220" t="str">
        <f>_xlfn.CONCAT("(",E15,_xlfn.UNICHAR(215),I14,")")</f>
        <v>(2×1)</v>
      </c>
      <c r="F18" s="220"/>
      <c r="G18" s="5"/>
      <c r="H18" s="186" t="str">
        <f>_xlfn.CONCAT("(",E15,_xlfn.UNICHAR(215),J14,")")</f>
        <v>(2×2)</v>
      </c>
      <c r="I18" s="186"/>
      <c r="J18" s="186"/>
      <c r="K18" s="208"/>
      <c r="L18" s="5"/>
      <c r="M18" s="5"/>
      <c r="N18" s="5"/>
      <c r="O18" s="50"/>
      <c r="P18" s="5"/>
      <c r="Q18" s="5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"/>
      <c r="H19" s="5"/>
      <c r="I19" s="5"/>
      <c r="J19" s="5"/>
      <c r="K19" s="5"/>
      <c r="L19" s="5"/>
      <c r="M19" s="5"/>
      <c r="N19" s="5"/>
      <c r="O19" s="50"/>
      <c r="P19" s="5"/>
      <c r="Q19" s="5"/>
    </row>
    <row r="20" spans="1:17" ht="17.100000000000001" customHeight="1" x14ac:dyDescent="0.25">
      <c r="A20" s="50"/>
      <c r="B20" s="222" t="str">
        <f>B14</f>
        <v>Matrix [A]×[B]</v>
      </c>
      <c r="C20" s="182" t="s">
        <v>2</v>
      </c>
      <c r="D20" s="183" t="s">
        <v>3</v>
      </c>
      <c r="E20" s="34">
        <f t="array" ref="E20:F21">MMULT(E14:E15,I14:J14)</f>
        <v>1</v>
      </c>
      <c r="F20" s="40">
        <v>2</v>
      </c>
      <c r="G20" s="180" t="s">
        <v>4</v>
      </c>
      <c r="H20" s="31"/>
      <c r="I20" s="31"/>
      <c r="J20" s="5"/>
      <c r="K20" s="5"/>
      <c r="L20" s="5"/>
      <c r="M20" s="5"/>
      <c r="N20" s="5"/>
      <c r="O20" s="50"/>
      <c r="P20" s="5"/>
      <c r="Q20" s="5"/>
    </row>
    <row r="21" spans="1:17" ht="17.100000000000001" customHeight="1" x14ac:dyDescent="0.25">
      <c r="A21" s="50"/>
      <c r="B21" s="222"/>
      <c r="C21" s="182"/>
      <c r="D21" s="184"/>
      <c r="E21" s="42">
        <v>2</v>
      </c>
      <c r="F21" s="67">
        <v>4</v>
      </c>
      <c r="G21" s="199"/>
      <c r="H21" s="64"/>
      <c r="I21" s="64"/>
      <c r="J21" s="5"/>
      <c r="K21" s="5"/>
      <c r="L21" s="5"/>
      <c r="M21" s="5"/>
      <c r="N21" s="5"/>
      <c r="O21" s="50"/>
      <c r="P21" s="5"/>
      <c r="Q21" s="5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60"/>
      <c r="P22" s="5"/>
      <c r="Q22" s="5"/>
    </row>
    <row r="23" spans="1:17" ht="16.5" thickTop="1" x14ac:dyDescent="0.25">
      <c r="P23" s="5"/>
      <c r="Q23" s="5"/>
    </row>
  </sheetData>
  <sheetProtection algorithmName="SHA-512" hashValue="Z+DA5HOzNcEIJDdjKkRKwEwkHDhkjE2LbAB4TqV2HZRs87WtVzkEy6LacicqyRFQ8O30X07YnCQuyhRT1G3Q6g==" saltValue="Txp0XlNR1F+JNopo/mmCuQ==" spinCount="100000" sheet="1" objects="1" scenarios="1"/>
  <mergeCells count="35">
    <mergeCell ref="B2:O2"/>
    <mergeCell ref="G11:G12"/>
    <mergeCell ref="H11:I12"/>
    <mergeCell ref="J11:N12"/>
    <mergeCell ref="D4:O5"/>
    <mergeCell ref="B8:B9"/>
    <mergeCell ref="C8:C9"/>
    <mergeCell ref="D8:D9"/>
    <mergeCell ref="G8:G9"/>
    <mergeCell ref="H8:I9"/>
    <mergeCell ref="J8:N9"/>
    <mergeCell ref="H17:J17"/>
    <mergeCell ref="K17:K18"/>
    <mergeCell ref="E18:F18"/>
    <mergeCell ref="H18:J18"/>
    <mergeCell ref="B14:B15"/>
    <mergeCell ref="C14:C15"/>
    <mergeCell ref="D14:D15"/>
    <mergeCell ref="F14:F15"/>
    <mergeCell ref="B20:B21"/>
    <mergeCell ref="C20:C21"/>
    <mergeCell ref="D20:D21"/>
    <mergeCell ref="G20:G21"/>
    <mergeCell ref="E8:F8"/>
    <mergeCell ref="E9:F9"/>
    <mergeCell ref="E11:E12"/>
    <mergeCell ref="F11:F12"/>
    <mergeCell ref="G14:G15"/>
    <mergeCell ref="B17:B18"/>
    <mergeCell ref="C17:C18"/>
    <mergeCell ref="D17:D18"/>
    <mergeCell ref="E17:F17"/>
    <mergeCell ref="B11:B12"/>
    <mergeCell ref="C11:C12"/>
    <mergeCell ref="D11:D12"/>
  </mergeCells>
  <hyperlinks>
    <hyperlink ref="Q2" location="'Main Page'!A1" display="Go to TOC Sheet" xr:uid="{BFD92CD6-50CE-4183-BBD0-02DC7174929B}"/>
  </hyperlinks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100C-F8A2-47CB-BB8C-C493C0E00526}">
  <sheetPr codeName="Sheet9"/>
  <dimension ref="A1:S23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8" width="3.7109375" style="16" customWidth="1"/>
    <col min="9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0" t="s">
        <v>39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2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5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81" t="str">
        <f>_xlfn.CONCAT("Matrix ","[",C4,"]")</f>
        <v>Matrix [A]</v>
      </c>
      <c r="C8" s="182" t="s">
        <v>2</v>
      </c>
      <c r="D8" s="183" t="s">
        <v>3</v>
      </c>
      <c r="E8" s="39">
        <v>1</v>
      </c>
      <c r="F8" s="180" t="s">
        <v>4</v>
      </c>
      <c r="G8" s="223"/>
      <c r="H8" s="166" t="str">
        <f>_xlfn.CONCAT("Enter values for Matrix [",C4,"] here")</f>
        <v>Enter values for Matrix [A] here</v>
      </c>
      <c r="I8" s="167"/>
      <c r="J8" s="167"/>
      <c r="K8" s="167"/>
      <c r="L8" s="167"/>
      <c r="M8" s="168"/>
      <c r="Q8" s="20"/>
    </row>
    <row r="9" spans="1:19" ht="17.100000000000001" customHeight="1" thickBot="1" x14ac:dyDescent="0.3">
      <c r="A9" s="20"/>
      <c r="B9" s="181"/>
      <c r="C9" s="182"/>
      <c r="D9" s="183"/>
      <c r="E9" s="39">
        <v>2</v>
      </c>
      <c r="F9" s="180"/>
      <c r="G9" s="223"/>
      <c r="H9" s="169"/>
      <c r="I9" s="170"/>
      <c r="J9" s="170"/>
      <c r="K9" s="170"/>
      <c r="L9" s="170"/>
      <c r="M9" s="171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81" t="str">
        <f>_xlfn.CONCAT("Matrix ","[",C5,"]")</f>
        <v>Matrix [B]</v>
      </c>
      <c r="C11" s="182" t="s">
        <v>2</v>
      </c>
      <c r="D11" s="183" t="s">
        <v>3</v>
      </c>
      <c r="E11" s="200">
        <v>1</v>
      </c>
      <c r="F11" s="200">
        <v>2</v>
      </c>
      <c r="G11" s="200">
        <v>3</v>
      </c>
      <c r="H11" s="180" t="s">
        <v>4</v>
      </c>
      <c r="I11" s="203"/>
      <c r="J11" s="203"/>
      <c r="K11" s="166" t="str">
        <f>_xlfn.CONCAT("Enter values for Matrix [",C5,"] here")</f>
        <v>Enter values for Matrix [B] here</v>
      </c>
      <c r="L11" s="167"/>
      <c r="M11" s="167"/>
      <c r="N11" s="167"/>
      <c r="O11" s="167"/>
      <c r="P11" s="168"/>
      <c r="Q11" s="20"/>
    </row>
    <row r="12" spans="1:19" ht="17.100000000000001" customHeight="1" thickBot="1" x14ac:dyDescent="0.3">
      <c r="A12" s="20"/>
      <c r="B12" s="181"/>
      <c r="C12" s="182"/>
      <c r="D12" s="183"/>
      <c r="E12" s="200"/>
      <c r="F12" s="200"/>
      <c r="G12" s="200"/>
      <c r="H12" s="180"/>
      <c r="I12" s="203"/>
      <c r="J12" s="203"/>
      <c r="K12" s="169"/>
      <c r="L12" s="170"/>
      <c r="M12" s="170"/>
      <c r="N12" s="170"/>
      <c r="O12" s="170"/>
      <c r="P12" s="171"/>
      <c r="Q12" s="20"/>
    </row>
    <row r="13" spans="1:19" ht="17.100000000000001" customHeight="1" x14ac:dyDescent="0.25">
      <c r="A13" s="20"/>
      <c r="B13" s="26"/>
      <c r="C13" s="2"/>
      <c r="D13" s="2"/>
      <c r="E13" s="29"/>
      <c r="F13" s="29"/>
      <c r="G13" s="29"/>
      <c r="H13" s="2"/>
      <c r="I13" s="2"/>
      <c r="J13" s="2"/>
      <c r="K13" s="2"/>
      <c r="L13" s="2"/>
      <c r="M13" s="2"/>
      <c r="N13" s="2"/>
      <c r="O13" s="2"/>
      <c r="P13" s="2"/>
      <c r="Q13" s="20"/>
    </row>
    <row r="14" spans="1:19" ht="17.100000000000001" customHeight="1" x14ac:dyDescent="0.25">
      <c r="A14" s="20"/>
      <c r="B14" s="181" t="str">
        <f>_xlfn.CONCAT("Matrix ","[",C4,"]",_xlfn.UNICHAR(215),"[",C5,"]")</f>
        <v>Matrix [A]×[B]</v>
      </c>
      <c r="C14" s="182" t="s">
        <v>2</v>
      </c>
      <c r="D14" s="183" t="s">
        <v>3</v>
      </c>
      <c r="E14" s="28">
        <f>E8</f>
        <v>1</v>
      </c>
      <c r="F14" s="180" t="s">
        <v>4</v>
      </c>
      <c r="G14" s="187" t="str">
        <f>_xlfn.UNICHAR(215)</f>
        <v>×</v>
      </c>
      <c r="H14" s="27" t="s">
        <v>3</v>
      </c>
      <c r="I14" s="28">
        <f>E11</f>
        <v>1</v>
      </c>
      <c r="J14" s="28">
        <f>F11</f>
        <v>2</v>
      </c>
      <c r="K14" s="28">
        <f>G11</f>
        <v>3</v>
      </c>
      <c r="L14" s="27" t="s">
        <v>4</v>
      </c>
      <c r="O14" s="2"/>
      <c r="P14" s="2"/>
      <c r="Q14" s="20"/>
    </row>
    <row r="15" spans="1:19" ht="17.100000000000001" customHeight="1" x14ac:dyDescent="0.25">
      <c r="A15" s="20"/>
      <c r="B15" s="181"/>
      <c r="C15" s="182"/>
      <c r="D15" s="183"/>
      <c r="E15" s="28">
        <f>E9</f>
        <v>2</v>
      </c>
      <c r="F15" s="180"/>
      <c r="G15" s="187"/>
      <c r="H15" s="27"/>
      <c r="I15" s="28"/>
      <c r="J15" s="28"/>
      <c r="K15" s="28"/>
      <c r="L15" s="68"/>
      <c r="O15" s="2"/>
      <c r="P15" s="2"/>
      <c r="Q15" s="20"/>
    </row>
    <row r="16" spans="1:19" ht="17.100000000000001" customHeight="1" x14ac:dyDescent="0.25">
      <c r="A16" s="20"/>
      <c r="B16" s="26"/>
      <c r="C16" s="2"/>
      <c r="D16" s="2"/>
      <c r="E16" s="29"/>
      <c r="F16" s="29"/>
      <c r="G16" s="29"/>
      <c r="H16" s="2"/>
      <c r="I16" s="2"/>
      <c r="J16" s="2"/>
      <c r="K16" s="2"/>
      <c r="L16" s="2"/>
      <c r="M16" s="2"/>
      <c r="N16" s="2"/>
      <c r="O16" s="2"/>
      <c r="P16" s="2"/>
      <c r="Q16" s="20"/>
    </row>
    <row r="17" spans="1:17" ht="17.100000000000001" customHeight="1" x14ac:dyDescent="0.25">
      <c r="A17" s="20"/>
      <c r="B17" s="181" t="str">
        <f>B14</f>
        <v>Matrix [A]×[B]</v>
      </c>
      <c r="C17" s="182" t="s">
        <v>2</v>
      </c>
      <c r="D17" s="183" t="s">
        <v>3</v>
      </c>
      <c r="E17" s="34" t="str">
        <f>_xlfn.CONCAT("(",E14,_xlfn.UNICHAR(215),I14,")")</f>
        <v>(1×1)</v>
      </c>
      <c r="F17" s="44" t="str">
        <f>_xlfn.CONCAT("(",E14,_xlfn.UNICHAR(215),J14,")")</f>
        <v>(1×2)</v>
      </c>
      <c r="G17" s="41" t="str">
        <f>_xlfn.CONCAT("(",E14,_xlfn.UNICHAR(215),K14,")")</f>
        <v>(1×3)</v>
      </c>
      <c r="H17" s="180" t="s">
        <v>4</v>
      </c>
      <c r="K17" s="44"/>
      <c r="L17" s="44"/>
      <c r="M17" s="31"/>
      <c r="O17" s="41"/>
      <c r="P17" s="41"/>
      <c r="Q17" s="20"/>
    </row>
    <row r="18" spans="1:17" ht="17.100000000000001" customHeight="1" x14ac:dyDescent="0.25">
      <c r="A18" s="20"/>
      <c r="B18" s="181"/>
      <c r="C18" s="182"/>
      <c r="D18" s="183"/>
      <c r="E18" s="40" t="str">
        <f>_xlfn.CONCAT("(",E15,_xlfn.UNICHAR(215),I14,")")</f>
        <v>(2×1)</v>
      </c>
      <c r="F18" s="69" t="str">
        <f>_xlfn.CONCAT("(",E15,_xlfn.UNICHAR(215),J14,")")</f>
        <v>(2×2)</v>
      </c>
      <c r="G18" s="42" t="str">
        <f>_xlfn.CONCAT("(",E15,_xlfn.UNICHAR(215),K14,")")</f>
        <v>(2×3)</v>
      </c>
      <c r="H18" s="180"/>
      <c r="J18" s="69"/>
      <c r="K18" s="69"/>
      <c r="L18" s="69"/>
      <c r="M18" s="31"/>
      <c r="O18" s="42"/>
      <c r="P18" s="42"/>
      <c r="Q18" s="20"/>
    </row>
    <row r="19" spans="1:17" ht="17.100000000000001" customHeight="1" x14ac:dyDescent="0.25">
      <c r="A19" s="20"/>
      <c r="B19" s="26"/>
      <c r="C19" s="2"/>
      <c r="D19" s="2"/>
      <c r="E19" s="29"/>
      <c r="F19" s="29"/>
      <c r="G19" s="29"/>
      <c r="H19" s="2"/>
      <c r="I19" s="2"/>
      <c r="J19" s="2"/>
      <c r="K19" s="2"/>
      <c r="L19" s="2"/>
      <c r="M19" s="2"/>
      <c r="N19" s="2"/>
      <c r="O19" s="2"/>
      <c r="P19" s="2"/>
      <c r="Q19" s="20"/>
    </row>
    <row r="20" spans="1:17" ht="17.100000000000001" customHeight="1" x14ac:dyDescent="0.25">
      <c r="A20" s="20"/>
      <c r="B20" s="222" t="str">
        <f>B14</f>
        <v>Matrix [A]×[B]</v>
      </c>
      <c r="C20" s="182" t="s">
        <v>2</v>
      </c>
      <c r="D20" s="183" t="s">
        <v>3</v>
      </c>
      <c r="E20" s="34">
        <f t="array" ref="E20:G21">MMULT(E14:E15,I14:K14)</f>
        <v>1</v>
      </c>
      <c r="F20" s="44">
        <v>2</v>
      </c>
      <c r="G20" s="41">
        <v>3</v>
      </c>
      <c r="H20" s="180" t="s">
        <v>4</v>
      </c>
      <c r="I20" s="31"/>
      <c r="J20" s="31"/>
      <c r="K20" s="2"/>
      <c r="L20" s="2"/>
      <c r="M20" s="2"/>
      <c r="N20" s="2"/>
      <c r="O20" s="2"/>
      <c r="P20" s="2"/>
      <c r="Q20" s="20"/>
    </row>
    <row r="21" spans="1:17" ht="17.100000000000001" customHeight="1" x14ac:dyDescent="0.25">
      <c r="A21" s="20"/>
      <c r="B21" s="222"/>
      <c r="C21" s="182"/>
      <c r="D21" s="183"/>
      <c r="E21" s="40">
        <v>2</v>
      </c>
      <c r="F21" s="69">
        <v>4</v>
      </c>
      <c r="G21" s="42">
        <v>6</v>
      </c>
      <c r="H21" s="180"/>
      <c r="I21" s="31"/>
      <c r="J21" s="31"/>
      <c r="K21" s="2"/>
      <c r="L21" s="2"/>
      <c r="M21" s="2"/>
      <c r="N21" s="2"/>
      <c r="O21" s="2"/>
      <c r="P21" s="2"/>
      <c r="Q21" s="20"/>
    </row>
    <row r="22" spans="1:17" ht="17.100000000000001" customHeight="1" thickBot="1" x14ac:dyDescent="0.3">
      <c r="A22" s="20"/>
      <c r="B22" s="35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36"/>
    </row>
    <row r="23" spans="1:17" ht="16.5" thickTop="1" x14ac:dyDescent="0.25"/>
  </sheetData>
  <sheetProtection algorithmName="SHA-512" hashValue="qGunjz40q9Y5CIKR1Y0tlG7I3ci2os5ewwUynnxBd//ocFLFMI6TDD1cC7YzexuxMBlXFq0BsHWAXZdRbox7xw==" saltValue="p+SCaJrmULqbhK6hwj6BCg==" spinCount="100000" sheet="1" objects="1" scenarios="1"/>
  <mergeCells count="30">
    <mergeCell ref="B2:Q2"/>
    <mergeCell ref="B11:B12"/>
    <mergeCell ref="C11:C12"/>
    <mergeCell ref="D11:D12"/>
    <mergeCell ref="H11:H12"/>
    <mergeCell ref="I11:J12"/>
    <mergeCell ref="G8:G9"/>
    <mergeCell ref="H8:M9"/>
    <mergeCell ref="E11:E12"/>
    <mergeCell ref="F11:F12"/>
    <mergeCell ref="G11:G12"/>
    <mergeCell ref="K11:P12"/>
    <mergeCell ref="D4:Q5"/>
    <mergeCell ref="B8:B9"/>
    <mergeCell ref="C8:C9"/>
    <mergeCell ref="D8:D9"/>
    <mergeCell ref="F8:F9"/>
    <mergeCell ref="H20:H21"/>
    <mergeCell ref="H17:H18"/>
    <mergeCell ref="B17:B18"/>
    <mergeCell ref="C17:C18"/>
    <mergeCell ref="D17:D18"/>
    <mergeCell ref="G14:G15"/>
    <mergeCell ref="B20:B21"/>
    <mergeCell ref="C20:C21"/>
    <mergeCell ref="D20:D21"/>
    <mergeCell ref="B14:B15"/>
    <mergeCell ref="C14:C15"/>
    <mergeCell ref="D14:D15"/>
    <mergeCell ref="F14:F15"/>
  </mergeCells>
  <hyperlinks>
    <hyperlink ref="S2" location="'Main Page'!A1" display="Go to TOC Sheet" xr:uid="{8B3A7649-3AFE-40C1-9287-FBFFFF8A9BF8}"/>
  </hyperlinks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A9935-5B81-46FC-BB52-75B060084D54}">
  <sheetPr codeName="Sheet10"/>
  <dimension ref="A1:Q23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9" width="3.7109375" style="45" customWidth="1"/>
    <col min="10" max="10" width="7.7109375" style="45" customWidth="1"/>
    <col min="11" max="11" width="5.140625" style="45" bestFit="1" customWidth="1"/>
    <col min="12" max="12" width="2.7109375" style="45" customWidth="1"/>
    <col min="13" max="13" width="6.7109375" style="45" customWidth="1"/>
    <col min="14" max="14" width="5.140625" style="45" bestFit="1" customWidth="1"/>
    <col min="15" max="15" width="2.7109375" style="45" customWidth="1"/>
    <col min="16" max="16" width="9.140625" style="45"/>
    <col min="17" max="17" width="19" style="45" customWidth="1"/>
    <col min="18" max="16384" width="9.140625" style="45"/>
  </cols>
  <sheetData>
    <row r="1" spans="1:17" ht="16.5" thickBot="1" x14ac:dyDescent="0.3">
      <c r="P1" s="5"/>
      <c r="Q1" s="5"/>
    </row>
    <row r="2" spans="1:17" ht="17.25" thickTop="1" thickBot="1" x14ac:dyDescent="0.3">
      <c r="B2" s="213" t="s">
        <v>40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5"/>
      <c r="P2" s="65"/>
      <c r="Q2" s="18" t="s">
        <v>52</v>
      </c>
    </row>
    <row r="3" spans="1:17" ht="17.25" thickTop="1" thickBot="1" x14ac:dyDescent="0.3">
      <c r="B3" s="48"/>
      <c r="C3" s="19"/>
      <c r="P3" s="5"/>
      <c r="Q3" s="5"/>
    </row>
    <row r="4" spans="1:17" ht="24.95" customHeight="1" thickTop="1" x14ac:dyDescent="0.25">
      <c r="A4" s="50"/>
      <c r="B4" s="21" t="s">
        <v>5</v>
      </c>
      <c r="C4" s="37" t="s">
        <v>0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65"/>
      <c r="Q4" s="5"/>
    </row>
    <row r="5" spans="1:17" ht="24.95" customHeight="1" thickBot="1" x14ac:dyDescent="0.3">
      <c r="A5" s="50"/>
      <c r="B5" s="22" t="s">
        <v>6</v>
      </c>
      <c r="C5" s="38" t="s">
        <v>1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65"/>
      <c r="Q5" s="5"/>
    </row>
    <row r="6" spans="1:17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5"/>
      <c r="Q6" s="5"/>
    </row>
    <row r="7" spans="1:17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1"/>
      <c r="P7" s="5"/>
      <c r="Q7" s="5"/>
    </row>
    <row r="8" spans="1:17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39">
        <v>1</v>
      </c>
      <c r="F8" s="39">
        <v>2</v>
      </c>
      <c r="G8" s="180" t="s">
        <v>4</v>
      </c>
      <c r="H8" s="156" t="s">
        <v>7</v>
      </c>
      <c r="I8" s="147"/>
      <c r="J8" s="188" t="str">
        <f>_xlfn.CONCAT("Enter values for Matrix [",C4,"] here")</f>
        <v>Enter values for Matrix [A] here</v>
      </c>
      <c r="K8" s="189"/>
      <c r="L8" s="189"/>
      <c r="M8" s="189"/>
      <c r="N8" s="190"/>
      <c r="O8" s="52"/>
      <c r="P8" s="66"/>
      <c r="Q8" s="66"/>
    </row>
    <row r="9" spans="1:17" s="53" customFormat="1" ht="17.100000000000001" customHeight="1" thickBot="1" x14ac:dyDescent="0.3">
      <c r="A9" s="52"/>
      <c r="B9" s="181"/>
      <c r="C9" s="182"/>
      <c r="D9" s="184"/>
      <c r="E9" s="39">
        <v>3</v>
      </c>
      <c r="F9" s="39">
        <v>4</v>
      </c>
      <c r="G9" s="199"/>
      <c r="H9" s="156"/>
      <c r="I9" s="147"/>
      <c r="J9" s="191"/>
      <c r="K9" s="192"/>
      <c r="L9" s="192"/>
      <c r="M9" s="192"/>
      <c r="N9" s="193"/>
      <c r="O9" s="52"/>
      <c r="P9" s="66"/>
      <c r="Q9" s="66"/>
    </row>
    <row r="10" spans="1:17" ht="17.100000000000001" customHeight="1" thickBot="1" x14ac:dyDescent="0.3">
      <c r="A10" s="50"/>
      <c r="B10" s="26"/>
      <c r="C10" s="2"/>
      <c r="D10" s="5"/>
      <c r="E10" s="54"/>
      <c r="F10" s="54"/>
      <c r="G10" s="5"/>
      <c r="H10" s="5"/>
      <c r="I10" s="5"/>
      <c r="J10" s="5"/>
      <c r="K10" s="5"/>
      <c r="L10" s="5"/>
      <c r="M10" s="5"/>
      <c r="N10" s="5"/>
      <c r="O10" s="50"/>
      <c r="P10" s="5"/>
      <c r="Q10" s="5"/>
    </row>
    <row r="11" spans="1:17" ht="17.100000000000001" customHeight="1" x14ac:dyDescent="0.25">
      <c r="A11" s="50"/>
      <c r="B11" s="181" t="str">
        <f>_xlfn.CONCAT("Matrix ","[",C5,"]")</f>
        <v>Matrix [B]</v>
      </c>
      <c r="C11" s="182" t="s">
        <v>2</v>
      </c>
      <c r="D11" s="183" t="s">
        <v>3</v>
      </c>
      <c r="E11" s="39">
        <v>1</v>
      </c>
      <c r="F11" s="180" t="s">
        <v>4</v>
      </c>
      <c r="G11" s="156" t="s">
        <v>7</v>
      </c>
      <c r="H11" s="156"/>
      <c r="I11" s="188" t="str">
        <f>_xlfn.CONCAT("Enter values for Matrix [",C5,"] here")</f>
        <v>Enter values for Matrix [B] here</v>
      </c>
      <c r="J11" s="189"/>
      <c r="K11" s="189"/>
      <c r="L11" s="189"/>
      <c r="M11" s="190"/>
      <c r="O11" s="50"/>
      <c r="P11" s="5"/>
      <c r="Q11" s="5"/>
    </row>
    <row r="12" spans="1:17" ht="17.100000000000001" customHeight="1" thickBot="1" x14ac:dyDescent="0.3">
      <c r="A12" s="50"/>
      <c r="B12" s="181"/>
      <c r="C12" s="182"/>
      <c r="D12" s="184"/>
      <c r="E12" s="39">
        <v>2</v>
      </c>
      <c r="F12" s="199"/>
      <c r="G12" s="156"/>
      <c r="H12" s="156"/>
      <c r="I12" s="191"/>
      <c r="J12" s="192"/>
      <c r="K12" s="192"/>
      <c r="L12" s="192"/>
      <c r="M12" s="193"/>
      <c r="O12" s="50"/>
      <c r="P12" s="5"/>
      <c r="Q12" s="5"/>
    </row>
    <row r="13" spans="1:17" ht="17.100000000000001" customHeight="1" x14ac:dyDescent="0.25">
      <c r="A13" s="50"/>
      <c r="B13" s="26"/>
      <c r="C13" s="2"/>
      <c r="D13" s="5"/>
      <c r="E13" s="54"/>
      <c r="F13" s="54"/>
      <c r="G13" s="5"/>
      <c r="H13" s="5"/>
      <c r="I13" s="5"/>
      <c r="J13" s="5"/>
      <c r="K13" s="5"/>
      <c r="L13" s="5"/>
      <c r="M13" s="5"/>
      <c r="N13" s="5"/>
      <c r="O13" s="50"/>
      <c r="P13" s="5"/>
      <c r="Q13" s="5"/>
    </row>
    <row r="14" spans="1:17" ht="17.100000000000001" customHeight="1" x14ac:dyDescent="0.25">
      <c r="A14" s="50"/>
      <c r="B14" s="181" t="str">
        <f>_xlfn.CONCAT("Matrix ","[",C4,"]",_xlfn.UNICHAR(215),"[",C5,"]")</f>
        <v>Matrix [A]×[B]</v>
      </c>
      <c r="C14" s="182" t="s">
        <v>2</v>
      </c>
      <c r="D14" s="183" t="s">
        <v>3</v>
      </c>
      <c r="E14" s="28">
        <f>E8</f>
        <v>1</v>
      </c>
      <c r="F14" s="28">
        <f>F8</f>
        <v>2</v>
      </c>
      <c r="G14" s="180" t="s">
        <v>4</v>
      </c>
      <c r="H14" s="187" t="str">
        <f>_xlfn.UNICHAR(215)</f>
        <v>×</v>
      </c>
      <c r="I14" s="183" t="s">
        <v>3</v>
      </c>
      <c r="J14" s="28">
        <f>E11</f>
        <v>1</v>
      </c>
      <c r="K14" s="180" t="s">
        <v>4</v>
      </c>
      <c r="O14" s="50"/>
      <c r="P14" s="5"/>
      <c r="Q14" s="5"/>
    </row>
    <row r="15" spans="1:17" ht="17.100000000000001" customHeight="1" x14ac:dyDescent="0.25">
      <c r="A15" s="50"/>
      <c r="B15" s="181"/>
      <c r="C15" s="182"/>
      <c r="D15" s="184"/>
      <c r="E15" s="28">
        <f>E9</f>
        <v>3</v>
      </c>
      <c r="F15" s="28">
        <f>F9</f>
        <v>4</v>
      </c>
      <c r="G15" s="199"/>
      <c r="H15" s="187"/>
      <c r="I15" s="183"/>
      <c r="J15" s="28">
        <f>E12</f>
        <v>2</v>
      </c>
      <c r="K15" s="180"/>
      <c r="O15" s="50"/>
      <c r="P15" s="5"/>
      <c r="Q15" s="5"/>
    </row>
    <row r="16" spans="1:17" ht="17.100000000000001" customHeight="1" x14ac:dyDescent="0.25">
      <c r="A16" s="50"/>
      <c r="B16" s="26"/>
      <c r="C16" s="2"/>
      <c r="D16" s="5"/>
      <c r="E16" s="54"/>
      <c r="F16" s="54"/>
      <c r="G16" s="5"/>
      <c r="H16" s="5"/>
      <c r="I16" s="5"/>
      <c r="J16" s="5"/>
      <c r="K16" s="5"/>
      <c r="L16" s="5"/>
      <c r="M16" s="5"/>
      <c r="N16" s="5"/>
      <c r="O16" s="50"/>
      <c r="P16" s="5"/>
      <c r="Q16" s="5"/>
    </row>
    <row r="17" spans="1:17" ht="17.100000000000001" customHeight="1" x14ac:dyDescent="0.25">
      <c r="A17" s="50"/>
      <c r="B17" s="181" t="str">
        <f>B14</f>
        <v>Matrix [A]×[B]</v>
      </c>
      <c r="C17" s="182" t="s">
        <v>2</v>
      </c>
      <c r="D17" s="183" t="s">
        <v>3</v>
      </c>
      <c r="E17" s="179" t="str">
        <f>_xlfn.CONCAT("(",E14,_xlfn.UNICHAR(215),J14,") + (",F14,_xlfn.UNICHAR(215),J15,")")</f>
        <v>(1×1) + (2×2)</v>
      </c>
      <c r="F17" s="179"/>
      <c r="G17" s="208" t="s">
        <v>4</v>
      </c>
      <c r="H17" s="185"/>
      <c r="I17" s="185"/>
      <c r="J17" s="185"/>
      <c r="L17" s="5"/>
      <c r="M17" s="5"/>
      <c r="N17" s="5"/>
      <c r="O17" s="50"/>
      <c r="P17" s="5"/>
      <c r="Q17" s="5"/>
    </row>
    <row r="18" spans="1:17" ht="17.100000000000001" customHeight="1" x14ac:dyDescent="0.25">
      <c r="A18" s="50"/>
      <c r="B18" s="181"/>
      <c r="C18" s="182"/>
      <c r="D18" s="184"/>
      <c r="E18" s="220" t="str">
        <f>_xlfn.CONCAT("(",E15,_xlfn.UNICHAR(215),J14,") + (",F15,_xlfn.UNICHAR(215),J15,")")</f>
        <v>(3×1) + (4×2)</v>
      </c>
      <c r="F18" s="220"/>
      <c r="G18" s="208"/>
      <c r="H18" s="186"/>
      <c r="I18" s="186"/>
      <c r="J18" s="186"/>
      <c r="L18" s="5"/>
      <c r="M18" s="5"/>
      <c r="N18" s="5"/>
      <c r="O18" s="50"/>
      <c r="P18" s="5"/>
      <c r="Q18" s="5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"/>
      <c r="H19" s="5"/>
      <c r="I19" s="5"/>
      <c r="J19" s="5"/>
      <c r="K19" s="5"/>
      <c r="L19" s="5"/>
      <c r="M19" s="5"/>
      <c r="N19" s="5"/>
      <c r="O19" s="50"/>
      <c r="P19" s="5"/>
      <c r="Q19" s="5"/>
    </row>
    <row r="20" spans="1:17" ht="17.100000000000001" customHeight="1" x14ac:dyDescent="0.25">
      <c r="A20" s="50"/>
      <c r="B20" s="222" t="str">
        <f>B14</f>
        <v>Matrix [A]×[B]</v>
      </c>
      <c r="C20" s="182" t="s">
        <v>2</v>
      </c>
      <c r="D20" s="183" t="s">
        <v>3</v>
      </c>
      <c r="E20" s="34">
        <f t="array" ref="E20:E21">MMULT(E14:F15,J14:J15)</f>
        <v>5</v>
      </c>
      <c r="F20" s="180" t="s">
        <v>4</v>
      </c>
      <c r="H20" s="31"/>
      <c r="I20" s="31"/>
      <c r="J20" s="5"/>
      <c r="K20" s="5"/>
      <c r="L20" s="5"/>
      <c r="M20" s="5"/>
      <c r="N20" s="5"/>
      <c r="O20" s="50"/>
      <c r="P20" s="5"/>
      <c r="Q20" s="5"/>
    </row>
    <row r="21" spans="1:17" ht="17.100000000000001" customHeight="1" x14ac:dyDescent="0.25">
      <c r="A21" s="50"/>
      <c r="B21" s="222"/>
      <c r="C21" s="182"/>
      <c r="D21" s="184"/>
      <c r="E21" s="42">
        <v>11</v>
      </c>
      <c r="F21" s="199"/>
      <c r="H21" s="64"/>
      <c r="I21" s="64"/>
      <c r="J21" s="5"/>
      <c r="K21" s="5"/>
      <c r="L21" s="5"/>
      <c r="M21" s="5"/>
      <c r="N21" s="5"/>
      <c r="O21" s="50"/>
      <c r="P21" s="5"/>
      <c r="Q21" s="5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60"/>
      <c r="P22" s="5"/>
      <c r="Q22" s="5"/>
    </row>
    <row r="23" spans="1:17" ht="16.5" thickTop="1" x14ac:dyDescent="0.25">
      <c r="P23" s="5"/>
      <c r="Q23" s="5"/>
    </row>
  </sheetData>
  <sheetProtection algorithmName="SHA-512" hashValue="shJB4gPZMtChaTy+7v8Xxh+hN4RsuyD0x0xTudDdUdEFxXM51SjCvgR47S8ix4ZHxwdHky/7gpMczjdCKsCYAQ==" saltValue="C13sRJF26mG1l+nz2v4axQ==" spinCount="100000" sheet="1" objects="1" scenarios="1"/>
  <mergeCells count="33">
    <mergeCell ref="D4:O5"/>
    <mergeCell ref="B8:B9"/>
    <mergeCell ref="C8:C9"/>
    <mergeCell ref="D8:D9"/>
    <mergeCell ref="G8:G9"/>
    <mergeCell ref="H8:I9"/>
    <mergeCell ref="J8:N9"/>
    <mergeCell ref="B2:O2"/>
    <mergeCell ref="I11:M12"/>
    <mergeCell ref="K14:K15"/>
    <mergeCell ref="B17:B18"/>
    <mergeCell ref="C17:C18"/>
    <mergeCell ref="D17:D18"/>
    <mergeCell ref="E17:F17"/>
    <mergeCell ref="H17:J17"/>
    <mergeCell ref="G17:G18"/>
    <mergeCell ref="E18:F18"/>
    <mergeCell ref="H18:J18"/>
    <mergeCell ref="B14:B15"/>
    <mergeCell ref="C14:C15"/>
    <mergeCell ref="D14:D15"/>
    <mergeCell ref="G14:G15"/>
    <mergeCell ref="H14:H15"/>
    <mergeCell ref="I14:I15"/>
    <mergeCell ref="B20:B21"/>
    <mergeCell ref="C20:C21"/>
    <mergeCell ref="D20:D21"/>
    <mergeCell ref="F20:F21"/>
    <mergeCell ref="G11:H12"/>
    <mergeCell ref="B11:B12"/>
    <mergeCell ref="C11:C12"/>
    <mergeCell ref="D11:D12"/>
    <mergeCell ref="F11:F12"/>
  </mergeCells>
  <hyperlinks>
    <hyperlink ref="Q2" location="'Main Page'!A1" display="Go to TOC Sheet" xr:uid="{2A19C8E3-D902-4898-A87F-0DE3DB2016F8}"/>
  </hyperlinks>
  <pageMargins left="0.7" right="0.7" top="0.75" bottom="0.75" header="0.3" footer="0.3"/>
  <pageSetup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0DD0-CA80-41BD-B093-DB643AF3AA85}">
  <sheetPr codeName="Sheet11"/>
  <dimension ref="A1:Q23"/>
  <sheetViews>
    <sheetView zoomScale="140" zoomScaleNormal="140" workbookViewId="0">
      <selection activeCell="Q2" sqref="Q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9" width="3.7109375" style="45" customWidth="1"/>
    <col min="10" max="11" width="7.7109375" style="45" customWidth="1"/>
    <col min="12" max="12" width="2.7109375" style="45" customWidth="1"/>
    <col min="13" max="13" width="6.7109375" style="45" customWidth="1"/>
    <col min="14" max="14" width="5.140625" style="45" bestFit="1" customWidth="1"/>
    <col min="15" max="15" width="2.7109375" style="45" customWidth="1"/>
    <col min="16" max="16" width="9.140625" style="45"/>
    <col min="17" max="17" width="19" style="45" customWidth="1"/>
    <col min="18" max="16384" width="9.140625" style="45"/>
  </cols>
  <sheetData>
    <row r="1" spans="1:17" ht="16.5" thickBot="1" x14ac:dyDescent="0.3">
      <c r="P1" s="5"/>
      <c r="Q1" s="5"/>
    </row>
    <row r="2" spans="1:17" ht="17.25" thickTop="1" thickBot="1" x14ac:dyDescent="0.3">
      <c r="B2" s="213" t="s">
        <v>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5"/>
      <c r="P2" s="65"/>
      <c r="Q2" s="18" t="s">
        <v>52</v>
      </c>
    </row>
    <row r="3" spans="1:17" ht="17.25" thickTop="1" thickBot="1" x14ac:dyDescent="0.3">
      <c r="B3" s="48"/>
      <c r="C3" s="19"/>
      <c r="P3" s="5"/>
      <c r="Q3" s="5"/>
    </row>
    <row r="4" spans="1:17" ht="24.95" customHeight="1" thickTop="1" x14ac:dyDescent="0.25">
      <c r="A4" s="50"/>
      <c r="B4" s="21" t="s">
        <v>5</v>
      </c>
      <c r="C4" s="37" t="s">
        <v>0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65"/>
      <c r="Q4" s="5"/>
    </row>
    <row r="5" spans="1:17" ht="24.95" customHeight="1" thickBot="1" x14ac:dyDescent="0.3">
      <c r="A5" s="50"/>
      <c r="B5" s="22" t="s">
        <v>6</v>
      </c>
      <c r="C5" s="38" t="s">
        <v>1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65"/>
      <c r="Q5" s="5"/>
    </row>
    <row r="6" spans="1:17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5"/>
      <c r="Q6" s="5"/>
    </row>
    <row r="7" spans="1:17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1"/>
      <c r="P7" s="5"/>
      <c r="Q7" s="5"/>
    </row>
    <row r="8" spans="1:17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39">
        <v>4</v>
      </c>
      <c r="F8" s="39">
        <v>1</v>
      </c>
      <c r="G8" s="180" t="s">
        <v>4</v>
      </c>
      <c r="H8" s="156" t="s">
        <v>7</v>
      </c>
      <c r="I8" s="147"/>
      <c r="J8" s="188" t="str">
        <f>_xlfn.CONCAT("Enter values for Matrix [",C4,"] here")</f>
        <v>Enter values for Matrix [A] here</v>
      </c>
      <c r="K8" s="189"/>
      <c r="L8" s="189"/>
      <c r="M8" s="189"/>
      <c r="N8" s="190"/>
      <c r="O8" s="52"/>
      <c r="P8" s="66"/>
      <c r="Q8" s="66"/>
    </row>
    <row r="9" spans="1:17" s="53" customFormat="1" ht="17.100000000000001" customHeight="1" thickBot="1" x14ac:dyDescent="0.3">
      <c r="A9" s="52"/>
      <c r="B9" s="181"/>
      <c r="C9" s="182"/>
      <c r="D9" s="184"/>
      <c r="E9" s="39">
        <v>1</v>
      </c>
      <c r="F9" s="39">
        <v>8</v>
      </c>
      <c r="G9" s="199"/>
      <c r="H9" s="156"/>
      <c r="I9" s="147"/>
      <c r="J9" s="191"/>
      <c r="K9" s="192"/>
      <c r="L9" s="192"/>
      <c r="M9" s="192"/>
      <c r="N9" s="193"/>
      <c r="O9" s="52"/>
      <c r="P9" s="66"/>
      <c r="Q9" s="66"/>
    </row>
    <row r="10" spans="1:17" ht="17.100000000000001" customHeight="1" thickBot="1" x14ac:dyDescent="0.3">
      <c r="A10" s="50"/>
      <c r="B10" s="26"/>
      <c r="C10" s="2"/>
      <c r="D10" s="5"/>
      <c r="E10" s="54"/>
      <c r="F10" s="54"/>
      <c r="G10" s="5"/>
      <c r="H10" s="5"/>
      <c r="I10" s="5"/>
      <c r="J10" s="5"/>
      <c r="K10" s="5"/>
      <c r="L10" s="5"/>
      <c r="M10" s="5"/>
      <c r="N10" s="5"/>
      <c r="O10" s="50"/>
      <c r="P10" s="5"/>
      <c r="Q10" s="5"/>
    </row>
    <row r="11" spans="1:17" ht="17.100000000000001" customHeight="1" x14ac:dyDescent="0.25">
      <c r="A11" s="50"/>
      <c r="B11" s="181" t="str">
        <f>_xlfn.CONCAT("Matrix ","[",C5,"]")</f>
        <v>Matrix [B]</v>
      </c>
      <c r="C11" s="182" t="s">
        <v>2</v>
      </c>
      <c r="D11" s="183" t="s">
        <v>3</v>
      </c>
      <c r="E11" s="39">
        <v>2</v>
      </c>
      <c r="F11" s="39">
        <v>0</v>
      </c>
      <c r="G11" s="180" t="s">
        <v>4</v>
      </c>
      <c r="H11" s="156" t="s">
        <v>7</v>
      </c>
      <c r="I11" s="147"/>
      <c r="J11" s="188" t="str">
        <f>_xlfn.CONCAT("Enter values for Matrix [",C5,"] here")</f>
        <v>Enter values for Matrix [B] here</v>
      </c>
      <c r="K11" s="189"/>
      <c r="L11" s="189"/>
      <c r="M11" s="189"/>
      <c r="N11" s="190"/>
      <c r="O11" s="50"/>
      <c r="P11" s="5"/>
      <c r="Q11" s="5"/>
    </row>
    <row r="12" spans="1:17" ht="17.100000000000001" customHeight="1" thickBot="1" x14ac:dyDescent="0.3">
      <c r="A12" s="50"/>
      <c r="B12" s="181"/>
      <c r="C12" s="182"/>
      <c r="D12" s="184"/>
      <c r="E12" s="39">
        <v>2</v>
      </c>
      <c r="F12" s="39">
        <v>4</v>
      </c>
      <c r="G12" s="199"/>
      <c r="H12" s="156"/>
      <c r="I12" s="147"/>
      <c r="J12" s="191"/>
      <c r="K12" s="192"/>
      <c r="L12" s="192"/>
      <c r="M12" s="192"/>
      <c r="N12" s="193"/>
      <c r="O12" s="50"/>
      <c r="P12" s="5"/>
      <c r="Q12" s="5"/>
    </row>
    <row r="13" spans="1:17" ht="17.100000000000001" customHeight="1" x14ac:dyDescent="0.25">
      <c r="A13" s="50"/>
      <c r="B13" s="26"/>
      <c r="C13" s="2"/>
      <c r="D13" s="5"/>
      <c r="E13" s="54"/>
      <c r="F13" s="54"/>
      <c r="G13" s="5"/>
      <c r="H13" s="5"/>
      <c r="I13" s="5"/>
      <c r="J13" s="5"/>
      <c r="K13" s="5"/>
      <c r="L13" s="5"/>
      <c r="M13" s="5"/>
      <c r="N13" s="5"/>
      <c r="O13" s="50"/>
      <c r="P13" s="5"/>
      <c r="Q13" s="5"/>
    </row>
    <row r="14" spans="1:17" ht="17.100000000000001" customHeight="1" x14ac:dyDescent="0.25">
      <c r="A14" s="50"/>
      <c r="B14" s="181" t="str">
        <f>_xlfn.CONCAT("Matrix ","[",C4,"]",_xlfn.UNICHAR(215),"[",C5,"]")</f>
        <v>Matrix [A]×[B]</v>
      </c>
      <c r="C14" s="182" t="s">
        <v>2</v>
      </c>
      <c r="D14" s="183" t="s">
        <v>3</v>
      </c>
      <c r="E14" s="28">
        <f>E8</f>
        <v>4</v>
      </c>
      <c r="F14" s="28">
        <f>F8</f>
        <v>1</v>
      </c>
      <c r="G14" s="180" t="s">
        <v>4</v>
      </c>
      <c r="H14" s="187" t="str">
        <f>_xlfn.UNICHAR(215)</f>
        <v>×</v>
      </c>
      <c r="I14" s="183" t="s">
        <v>3</v>
      </c>
      <c r="J14" s="28">
        <f>E11</f>
        <v>2</v>
      </c>
      <c r="K14" s="28">
        <f>F11</f>
        <v>0</v>
      </c>
      <c r="L14" s="180" t="s">
        <v>4</v>
      </c>
      <c r="O14" s="50"/>
      <c r="P14" s="5"/>
      <c r="Q14" s="5"/>
    </row>
    <row r="15" spans="1:17" ht="17.100000000000001" customHeight="1" x14ac:dyDescent="0.25">
      <c r="A15" s="50"/>
      <c r="B15" s="181"/>
      <c r="C15" s="182"/>
      <c r="D15" s="184"/>
      <c r="E15" s="28">
        <f>E9</f>
        <v>1</v>
      </c>
      <c r="F15" s="28">
        <f>F9</f>
        <v>8</v>
      </c>
      <c r="G15" s="199"/>
      <c r="H15" s="187"/>
      <c r="I15" s="183"/>
      <c r="J15" s="28">
        <f>E12</f>
        <v>2</v>
      </c>
      <c r="K15" s="28">
        <f>F12</f>
        <v>4</v>
      </c>
      <c r="L15" s="180"/>
      <c r="O15" s="50"/>
      <c r="P15" s="5"/>
      <c r="Q15" s="5"/>
    </row>
    <row r="16" spans="1:17" ht="17.100000000000001" customHeight="1" x14ac:dyDescent="0.25">
      <c r="A16" s="50"/>
      <c r="B16" s="26"/>
      <c r="C16" s="2"/>
      <c r="D16" s="5"/>
      <c r="E16" s="54"/>
      <c r="F16" s="54"/>
      <c r="G16" s="5"/>
      <c r="H16" s="5"/>
      <c r="I16" s="5"/>
      <c r="J16" s="5"/>
      <c r="K16" s="5"/>
      <c r="L16" s="5"/>
      <c r="M16" s="5"/>
      <c r="N16" s="5"/>
      <c r="O16" s="50"/>
      <c r="P16" s="5"/>
      <c r="Q16" s="5"/>
    </row>
    <row r="17" spans="1:17" ht="17.100000000000001" customHeight="1" x14ac:dyDescent="0.25">
      <c r="A17" s="50"/>
      <c r="B17" s="181" t="str">
        <f>B14</f>
        <v>Matrix [A]×[B]</v>
      </c>
      <c r="C17" s="182" t="s">
        <v>2</v>
      </c>
      <c r="D17" s="183" t="s">
        <v>3</v>
      </c>
      <c r="E17" s="179" t="str">
        <f>_xlfn.CONCAT("(",E14,_xlfn.UNICHAR(215),J14,") + (",F14,_xlfn.UNICHAR(215),J15,")")</f>
        <v>(4×2) + (1×2)</v>
      </c>
      <c r="F17" s="179"/>
      <c r="G17" s="5"/>
      <c r="H17" s="185" t="str">
        <f>_xlfn.CONCAT("(",E14,_xlfn.UNICHAR(215),K14,") + (",F14,_xlfn.UNICHAR(215),K15,")")</f>
        <v>(4×0) + (1×4)</v>
      </c>
      <c r="I17" s="185"/>
      <c r="J17" s="185"/>
      <c r="K17" s="208" t="s">
        <v>4</v>
      </c>
      <c r="L17" s="5"/>
      <c r="M17" s="5"/>
      <c r="N17" s="5"/>
      <c r="O17" s="50"/>
      <c r="P17" s="5"/>
      <c r="Q17" s="5"/>
    </row>
    <row r="18" spans="1:17" ht="17.100000000000001" customHeight="1" x14ac:dyDescent="0.25">
      <c r="A18" s="50"/>
      <c r="B18" s="181"/>
      <c r="C18" s="182"/>
      <c r="D18" s="184"/>
      <c r="E18" s="220" t="str">
        <f>_xlfn.CONCAT("(",E15,_xlfn.UNICHAR(215),J14,") + (",F15,_xlfn.UNICHAR(215),J15,")")</f>
        <v>(1×2) + (8×2)</v>
      </c>
      <c r="F18" s="220"/>
      <c r="G18" s="5"/>
      <c r="H18" s="186" t="str">
        <f>_xlfn.CONCAT("(",E15,_xlfn.UNICHAR(215),K14,") + (",F15,_xlfn.UNICHAR(215),K15,")")</f>
        <v>(1×0) + (8×4)</v>
      </c>
      <c r="I18" s="186"/>
      <c r="J18" s="186"/>
      <c r="K18" s="208"/>
      <c r="L18" s="5"/>
      <c r="M18" s="5"/>
      <c r="N18" s="5"/>
      <c r="O18" s="50"/>
      <c r="P18" s="5"/>
      <c r="Q18" s="5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"/>
      <c r="H19" s="5"/>
      <c r="I19" s="5"/>
      <c r="J19" s="5"/>
      <c r="K19" s="5"/>
      <c r="L19" s="5"/>
      <c r="M19" s="5"/>
      <c r="N19" s="5"/>
      <c r="O19" s="50"/>
      <c r="P19" s="5"/>
      <c r="Q19" s="5"/>
    </row>
    <row r="20" spans="1:17" ht="17.100000000000001" customHeight="1" x14ac:dyDescent="0.25">
      <c r="A20" s="50"/>
      <c r="B20" s="222" t="str">
        <f>B14</f>
        <v>Matrix [A]×[B]</v>
      </c>
      <c r="C20" s="182" t="s">
        <v>2</v>
      </c>
      <c r="D20" s="183" t="s">
        <v>3</v>
      </c>
      <c r="E20" s="34">
        <f t="array" ref="E20:F21">MMULT(E14:F15,J14:K15)</f>
        <v>10</v>
      </c>
      <c r="F20" s="40">
        <v>4</v>
      </c>
      <c r="G20" s="180" t="s">
        <v>4</v>
      </c>
      <c r="H20" s="31"/>
      <c r="I20" s="31"/>
      <c r="J20" s="5"/>
      <c r="K20" s="5"/>
      <c r="L20" s="5"/>
      <c r="M20" s="5"/>
      <c r="N20" s="5"/>
      <c r="O20" s="50"/>
      <c r="P20" s="5"/>
      <c r="Q20" s="5"/>
    </row>
    <row r="21" spans="1:17" ht="17.100000000000001" customHeight="1" x14ac:dyDescent="0.25">
      <c r="A21" s="50"/>
      <c r="B21" s="222"/>
      <c r="C21" s="182"/>
      <c r="D21" s="184"/>
      <c r="E21" s="42">
        <v>18</v>
      </c>
      <c r="F21" s="67">
        <v>32</v>
      </c>
      <c r="G21" s="199"/>
      <c r="H21" s="64"/>
      <c r="I21" s="64"/>
      <c r="J21" s="5"/>
      <c r="K21" s="5"/>
      <c r="L21" s="5"/>
      <c r="M21" s="5"/>
      <c r="N21" s="5"/>
      <c r="O21" s="50"/>
      <c r="P21" s="5"/>
      <c r="Q21" s="5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60"/>
      <c r="P22" s="5"/>
      <c r="Q22" s="5"/>
    </row>
    <row r="23" spans="1:17" ht="16.5" thickTop="1" x14ac:dyDescent="0.25">
      <c r="P23" s="5"/>
      <c r="Q23" s="5"/>
    </row>
  </sheetData>
  <sheetProtection algorithmName="SHA-512" hashValue="vsBPiu8ax3H/O3MTU5NrXkBrixutnwhO7UY4Ww9lCHl6oh7QQRLZZDpyK6FcO24JqyJ5NBvUKs2cK878abEOAA==" saltValue="AHZM/wyRFGWb9aWoSr3jhw==" spinCount="100000" sheet="1" objects="1" scenarios="1"/>
  <mergeCells count="33">
    <mergeCell ref="H11:I12"/>
    <mergeCell ref="D17:D18"/>
    <mergeCell ref="E17:F17"/>
    <mergeCell ref="H17:J17"/>
    <mergeCell ref="B2:O2"/>
    <mergeCell ref="D4:O5"/>
    <mergeCell ref="J11:N12"/>
    <mergeCell ref="B8:B9"/>
    <mergeCell ref="C8:C9"/>
    <mergeCell ref="D8:D9"/>
    <mergeCell ref="G8:G9"/>
    <mergeCell ref="H8:I9"/>
    <mergeCell ref="J8:N9"/>
    <mergeCell ref="B11:B12"/>
    <mergeCell ref="C11:C12"/>
    <mergeCell ref="D11:D12"/>
    <mergeCell ref="G11:G12"/>
    <mergeCell ref="B20:B21"/>
    <mergeCell ref="C20:C21"/>
    <mergeCell ref="D20:D21"/>
    <mergeCell ref="G20:G21"/>
    <mergeCell ref="L14:L15"/>
    <mergeCell ref="B14:B15"/>
    <mergeCell ref="C14:C15"/>
    <mergeCell ref="D14:D15"/>
    <mergeCell ref="G14:G15"/>
    <mergeCell ref="H14:H15"/>
    <mergeCell ref="I14:I15"/>
    <mergeCell ref="K17:K18"/>
    <mergeCell ref="E18:F18"/>
    <mergeCell ref="H18:J18"/>
    <mergeCell ref="B17:B18"/>
    <mergeCell ref="C17:C18"/>
  </mergeCells>
  <hyperlinks>
    <hyperlink ref="Q2" location="'Main Page'!A1" display="Go to TOC Sheet" xr:uid="{C476466E-2800-4A80-8438-23FB0F72ABA7}"/>
  </hyperlinks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096D3-0DC6-4141-AF7C-68D2D4B04F29}">
  <sheetPr codeName="Sheet12"/>
  <dimension ref="A1:S23"/>
  <sheetViews>
    <sheetView zoomScale="145" zoomScaleNormal="14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9" width="3.7109375" style="45" customWidth="1"/>
    <col min="10" max="13" width="7.7109375" style="45" customWidth="1"/>
    <col min="14" max="14" width="5.140625" style="45" bestFit="1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13" t="s">
        <v>41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5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79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50"/>
      <c r="B5" s="22" t="s">
        <v>6</v>
      </c>
      <c r="C5" s="38" t="s">
        <v>80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5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95">
      <c r="A8" s="52"/>
      <c r="B8" s="181" t="str">
        <f>_xlfn.CONCAT("Matrix ","[",C4,"]")</f>
        <v>Matrix [C]</v>
      </c>
      <c r="C8" s="182" t="s">
        <v>2</v>
      </c>
      <c r="D8" s="183" t="s">
        <v>3</v>
      </c>
      <c r="E8" s="39">
        <v>1</v>
      </c>
      <c r="F8" s="39">
        <v>2</v>
      </c>
      <c r="G8" s="180" t="s">
        <v>4</v>
      </c>
      <c r="H8" s="216"/>
      <c r="I8" s="216"/>
      <c r="J8" s="70"/>
      <c r="K8" s="166" t="str">
        <f>_xlfn.CONCAT("Enter values for Matrix [",C4,"] here")</f>
        <v>Enter values for Matrix [C] here</v>
      </c>
      <c r="L8" s="167"/>
      <c r="M8" s="167"/>
      <c r="N8" s="167"/>
      <c r="O8" s="167"/>
      <c r="P8" s="168"/>
      <c r="Q8" s="52"/>
    </row>
    <row r="9" spans="1:19" s="53" customFormat="1" ht="17.100000000000001" customHeight="1" thickBot="1" x14ac:dyDescent="1">
      <c r="A9" s="52"/>
      <c r="B9" s="181"/>
      <c r="C9" s="182"/>
      <c r="D9" s="183"/>
      <c r="E9" s="39">
        <v>3</v>
      </c>
      <c r="F9" s="39">
        <v>4</v>
      </c>
      <c r="G9" s="180"/>
      <c r="H9" s="216"/>
      <c r="I9" s="216"/>
      <c r="J9" s="70"/>
      <c r="K9" s="169"/>
      <c r="L9" s="170"/>
      <c r="M9" s="170"/>
      <c r="N9" s="170"/>
      <c r="O9" s="170"/>
      <c r="P9" s="171"/>
      <c r="Q9" s="52"/>
    </row>
    <row r="10" spans="1:19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0"/>
    </row>
    <row r="11" spans="1:19" ht="17.100000000000001" customHeight="1" x14ac:dyDescent="0.25">
      <c r="A11" s="50"/>
      <c r="B11" s="181" t="str">
        <f>_xlfn.CONCAT("Matrix ","[",C5,"]")</f>
        <v>Matrix [D]</v>
      </c>
      <c r="C11" s="182" t="s">
        <v>2</v>
      </c>
      <c r="D11" s="183" t="s">
        <v>3</v>
      </c>
      <c r="E11" s="39">
        <v>1</v>
      </c>
      <c r="F11" s="39">
        <v>2</v>
      </c>
      <c r="G11" s="39">
        <v>3</v>
      </c>
      <c r="H11" s="180" t="s">
        <v>4</v>
      </c>
      <c r="I11" s="216"/>
      <c r="J11" s="216"/>
      <c r="K11" s="166" t="str">
        <f>_xlfn.CONCAT("Enter values for Matrix [",C5,"] here")</f>
        <v>Enter values for Matrix [D] here</v>
      </c>
      <c r="L11" s="167"/>
      <c r="M11" s="167"/>
      <c r="N11" s="167"/>
      <c r="O11" s="167"/>
      <c r="P11" s="168"/>
      <c r="Q11" s="50"/>
    </row>
    <row r="12" spans="1:19" ht="17.100000000000001" customHeight="1" thickBot="1" x14ac:dyDescent="0.3">
      <c r="A12" s="50"/>
      <c r="B12" s="181"/>
      <c r="C12" s="182"/>
      <c r="D12" s="183"/>
      <c r="E12" s="39">
        <v>4</v>
      </c>
      <c r="F12" s="39">
        <v>5</v>
      </c>
      <c r="G12" s="39">
        <v>6</v>
      </c>
      <c r="H12" s="180"/>
      <c r="I12" s="216"/>
      <c r="J12" s="216"/>
      <c r="K12" s="169"/>
      <c r="L12" s="170"/>
      <c r="M12" s="170"/>
      <c r="N12" s="170"/>
      <c r="O12" s="170"/>
      <c r="P12" s="171"/>
      <c r="Q12" s="50"/>
    </row>
    <row r="13" spans="1:19" ht="17.100000000000001" customHeight="1" x14ac:dyDescent="0.25">
      <c r="A13" s="50"/>
      <c r="B13" s="26"/>
      <c r="C13" s="2"/>
      <c r="D13" s="5"/>
      <c r="E13" s="54"/>
      <c r="F13" s="54"/>
      <c r="G13" s="54"/>
      <c r="H13" s="5"/>
      <c r="I13" s="5"/>
      <c r="J13" s="5"/>
      <c r="K13" s="5"/>
      <c r="L13" s="5"/>
      <c r="M13" s="5"/>
      <c r="N13" s="5"/>
      <c r="O13" s="5"/>
      <c r="P13" s="5"/>
      <c r="Q13" s="50"/>
    </row>
    <row r="14" spans="1:19" ht="17.100000000000001" customHeight="1" x14ac:dyDescent="0.25">
      <c r="A14" s="50"/>
      <c r="B14" s="181" t="str">
        <f>_xlfn.CONCAT("Matrix ","[",C4,"]",_xlfn.UNICHAR(215),"[",C5,"]")</f>
        <v>Matrix [C]×[D]</v>
      </c>
      <c r="C14" s="182" t="s">
        <v>2</v>
      </c>
      <c r="D14" s="183" t="s">
        <v>3</v>
      </c>
      <c r="E14" s="28">
        <f>E8</f>
        <v>1</v>
      </c>
      <c r="F14" s="28">
        <f>F8</f>
        <v>2</v>
      </c>
      <c r="G14" s="180" t="s">
        <v>4</v>
      </c>
      <c r="H14" s="187" t="str">
        <f>_xlfn.UNICHAR(215)</f>
        <v>×</v>
      </c>
      <c r="I14" s="183" t="s">
        <v>3</v>
      </c>
      <c r="J14" s="28">
        <f t="shared" ref="J14:L15" si="0">E11</f>
        <v>1</v>
      </c>
      <c r="K14" s="28">
        <f t="shared" si="0"/>
        <v>2</v>
      </c>
      <c r="L14" s="28">
        <f t="shared" si="0"/>
        <v>3</v>
      </c>
      <c r="M14" s="180" t="s">
        <v>4</v>
      </c>
      <c r="O14" s="5"/>
      <c r="P14" s="5"/>
      <c r="Q14" s="50"/>
    </row>
    <row r="15" spans="1:19" ht="17.100000000000001" customHeight="1" x14ac:dyDescent="0.25">
      <c r="A15" s="50"/>
      <c r="B15" s="181"/>
      <c r="C15" s="182"/>
      <c r="D15" s="183"/>
      <c r="E15" s="28">
        <f>E9</f>
        <v>3</v>
      </c>
      <c r="F15" s="28">
        <f>F9</f>
        <v>4</v>
      </c>
      <c r="G15" s="180"/>
      <c r="H15" s="187"/>
      <c r="I15" s="183"/>
      <c r="J15" s="28">
        <f t="shared" si="0"/>
        <v>4</v>
      </c>
      <c r="K15" s="28">
        <f t="shared" si="0"/>
        <v>5</v>
      </c>
      <c r="L15" s="28">
        <f t="shared" si="0"/>
        <v>6</v>
      </c>
      <c r="M15" s="180"/>
      <c r="O15" s="5"/>
      <c r="P15" s="5"/>
      <c r="Q15" s="50"/>
    </row>
    <row r="16" spans="1:19" ht="17.100000000000001" customHeight="1" x14ac:dyDescent="0.25">
      <c r="A16" s="50"/>
      <c r="B16" s="26"/>
      <c r="C16" s="2"/>
      <c r="D16" s="5"/>
      <c r="E16" s="54"/>
      <c r="F16" s="54"/>
      <c r="G16" s="54"/>
      <c r="H16" s="5"/>
      <c r="I16" s="5"/>
      <c r="J16" s="5"/>
      <c r="K16" s="5"/>
      <c r="L16" s="5"/>
      <c r="M16" s="5"/>
      <c r="N16" s="5"/>
      <c r="O16" s="5"/>
      <c r="P16" s="5"/>
      <c r="Q16" s="50"/>
    </row>
    <row r="17" spans="1:17" ht="17.100000000000001" customHeight="1" x14ac:dyDescent="0.25">
      <c r="A17" s="50"/>
      <c r="B17" s="181" t="str">
        <f>B14</f>
        <v>Matrix [C]×[D]</v>
      </c>
      <c r="C17" s="182" t="s">
        <v>2</v>
      </c>
      <c r="D17" s="183" t="s">
        <v>3</v>
      </c>
      <c r="E17" s="224" t="str">
        <f>_xlfn.CONCAT("(",E14,_xlfn.UNICHAR(215),J14,") + (",F14,_xlfn.UNICHAR(215),J15,")")</f>
        <v>(1×1) + (2×4)</v>
      </c>
      <c r="F17" s="224"/>
      <c r="G17" s="71"/>
      <c r="H17" s="206" t="str">
        <f>_xlfn.CONCAT("(",E14,_xlfn.UNICHAR(215),K14,") + (",F14,_xlfn.UNICHAR(215),K15,")")</f>
        <v>(1×2) + (2×5)</v>
      </c>
      <c r="I17" s="206"/>
      <c r="J17" s="206"/>
      <c r="K17" s="72"/>
      <c r="L17" s="207" t="str">
        <f>_xlfn.CONCAT("(",E14,_xlfn.UNICHAR(215),L14,") + (",F14,_xlfn.UNICHAR(215),L15,")")</f>
        <v>(1×3) + (2×6)</v>
      </c>
      <c r="M17" s="207"/>
      <c r="N17" s="208" t="s">
        <v>4</v>
      </c>
      <c r="Q17" s="50"/>
    </row>
    <row r="18" spans="1:17" ht="17.100000000000001" customHeight="1" x14ac:dyDescent="0.25">
      <c r="A18" s="50"/>
      <c r="B18" s="181"/>
      <c r="C18" s="182"/>
      <c r="D18" s="183"/>
      <c r="E18" s="225" t="str">
        <f>_xlfn.CONCAT("(",E15,_xlfn.UNICHAR(215),J14,") + (",F15,_xlfn.UNICHAR(215),J15,")")</f>
        <v>(3×1) + (4×4)</v>
      </c>
      <c r="F18" s="225"/>
      <c r="G18" s="73"/>
      <c r="H18" s="209" t="str">
        <f>_xlfn.CONCAT("(",E15,_xlfn.UNICHAR(215),K14,") + (",F15,_xlfn.UNICHAR(215),K15,")")</f>
        <v>(3×2) + (4×5)</v>
      </c>
      <c r="I18" s="209"/>
      <c r="J18" s="209"/>
      <c r="K18" s="74"/>
      <c r="L18" s="210" t="str">
        <f>_xlfn.CONCAT("(",E15,_xlfn.UNICHAR(215),L14,") + (",F15,_xlfn.UNICHAR(215),L15,")")</f>
        <v>(3×3) + (4×6)</v>
      </c>
      <c r="M18" s="210"/>
      <c r="N18" s="208"/>
      <c r="Q18" s="50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0"/>
    </row>
    <row r="20" spans="1:17" ht="17.100000000000001" customHeight="1" x14ac:dyDescent="0.25">
      <c r="A20" s="50"/>
      <c r="B20" s="222" t="str">
        <f>B14</f>
        <v>Matrix [C]×[D]</v>
      </c>
      <c r="C20" s="182" t="s">
        <v>2</v>
      </c>
      <c r="D20" s="183" t="s">
        <v>3</v>
      </c>
      <c r="E20" s="34">
        <f t="array" ref="E20:G21">MMULT(E14:F15,J14:L15)</f>
        <v>9</v>
      </c>
      <c r="F20" s="44">
        <v>12</v>
      </c>
      <c r="G20" s="41">
        <v>15</v>
      </c>
      <c r="H20" s="180" t="s">
        <v>4</v>
      </c>
      <c r="I20" s="31"/>
      <c r="J20" s="31"/>
      <c r="K20" s="5"/>
      <c r="L20" s="5"/>
      <c r="M20" s="5"/>
      <c r="N20" s="5"/>
      <c r="O20" s="5"/>
      <c r="P20" s="5"/>
      <c r="Q20" s="50"/>
    </row>
    <row r="21" spans="1:17" ht="17.100000000000001" customHeight="1" x14ac:dyDescent="0.25">
      <c r="A21" s="50"/>
      <c r="B21" s="222"/>
      <c r="C21" s="182"/>
      <c r="D21" s="183"/>
      <c r="E21" s="40">
        <v>19</v>
      </c>
      <c r="F21" s="69">
        <v>26</v>
      </c>
      <c r="G21" s="42">
        <v>33</v>
      </c>
      <c r="H21" s="180"/>
      <c r="I21" s="31"/>
      <c r="J21" s="31"/>
      <c r="K21" s="5"/>
      <c r="L21" s="5"/>
      <c r="M21" s="5"/>
      <c r="N21" s="5"/>
      <c r="O21" s="5"/>
      <c r="P21" s="5"/>
      <c r="Q21" s="50"/>
    </row>
    <row r="22" spans="1:17" ht="17.100000000000001" customHeight="1" thickBot="1" x14ac:dyDescent="0.3">
      <c r="A22" s="50"/>
      <c r="B22" s="35"/>
      <c r="C22" s="23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60"/>
    </row>
    <row r="23" spans="1:17" ht="16.5" thickTop="1" x14ac:dyDescent="0.25"/>
  </sheetData>
  <sheetProtection algorithmName="SHA-512" hashValue="ZW6TFDacZl56f6ngBCQ/kGSUOQ4edhCu9nVsPqwU+jnaMXGMFodrqwPnm3QvqRz5KJjB1RF+kv207kdwVeGjAQ==" saltValue="HN6+gJT0hMx7g19TabkPuQ==" spinCount="100000" sheet="1" objects="1" scenarios="1"/>
  <mergeCells count="35">
    <mergeCell ref="B2:Q2"/>
    <mergeCell ref="B20:B21"/>
    <mergeCell ref="C20:C21"/>
    <mergeCell ref="D20:D21"/>
    <mergeCell ref="H20:H21"/>
    <mergeCell ref="M14:M15"/>
    <mergeCell ref="B17:B18"/>
    <mergeCell ref="C17:C18"/>
    <mergeCell ref="D17:D18"/>
    <mergeCell ref="B14:B15"/>
    <mergeCell ref="C14:C15"/>
    <mergeCell ref="D14:D15"/>
    <mergeCell ref="G14:G15"/>
    <mergeCell ref="H14:H15"/>
    <mergeCell ref="B8:B9"/>
    <mergeCell ref="C8:C9"/>
    <mergeCell ref="B11:B12"/>
    <mergeCell ref="C11:C12"/>
    <mergeCell ref="D11:D12"/>
    <mergeCell ref="H11:H12"/>
    <mergeCell ref="I11:J12"/>
    <mergeCell ref="N17:N18"/>
    <mergeCell ref="D4:Q5"/>
    <mergeCell ref="I14:I15"/>
    <mergeCell ref="K11:P12"/>
    <mergeCell ref="G8:G9"/>
    <mergeCell ref="K8:P9"/>
    <mergeCell ref="L17:M17"/>
    <mergeCell ref="L18:M18"/>
    <mergeCell ref="E17:F17"/>
    <mergeCell ref="D8:D9"/>
    <mergeCell ref="H8:I9"/>
    <mergeCell ref="E18:F18"/>
    <mergeCell ref="H17:J17"/>
    <mergeCell ref="H18:J18"/>
  </mergeCells>
  <hyperlinks>
    <hyperlink ref="S2" location="'Main Page'!A1" display="Go to TOC Sheet" xr:uid="{016852E8-3215-48B6-96CC-C66381BA0B39}"/>
  </hyperlinks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D89B6-1D57-4E74-AA64-334F490CC5B2}">
  <sheetPr codeName="Sheet13"/>
  <dimension ref="A1:S25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10" width="3.7109375" style="16" customWidth="1"/>
    <col min="11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0" t="s">
        <v>42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2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5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81" t="str">
        <f>_xlfn.CONCAT("Matrix ","[",C4,"]")</f>
        <v>Matrix [A]</v>
      </c>
      <c r="C8" s="182" t="s">
        <v>2</v>
      </c>
      <c r="D8" s="183" t="s">
        <v>3</v>
      </c>
      <c r="E8" s="39">
        <v>1</v>
      </c>
      <c r="F8" s="39">
        <v>2</v>
      </c>
      <c r="G8" s="39">
        <v>3</v>
      </c>
      <c r="H8" s="180" t="s">
        <v>4</v>
      </c>
      <c r="I8" s="203"/>
      <c r="J8" s="203"/>
      <c r="K8" s="166" t="str">
        <f>_xlfn.CONCAT("Enter values for Matrix [",C4,"] here")</f>
        <v>Enter values for Matrix [A] here</v>
      </c>
      <c r="L8" s="167"/>
      <c r="M8" s="167"/>
      <c r="N8" s="167"/>
      <c r="O8" s="167"/>
      <c r="P8" s="168"/>
      <c r="Q8" s="20"/>
    </row>
    <row r="9" spans="1:19" ht="17.100000000000001" customHeight="1" thickBot="1" x14ac:dyDescent="0.3">
      <c r="A9" s="20"/>
      <c r="B9" s="181"/>
      <c r="C9" s="182"/>
      <c r="D9" s="183"/>
      <c r="E9" s="39">
        <v>4</v>
      </c>
      <c r="F9" s="39">
        <v>5</v>
      </c>
      <c r="G9" s="39">
        <v>6</v>
      </c>
      <c r="H9" s="180"/>
      <c r="I9" s="203"/>
      <c r="J9" s="203"/>
      <c r="K9" s="169"/>
      <c r="L9" s="170"/>
      <c r="M9" s="170"/>
      <c r="N9" s="170"/>
      <c r="O9" s="170"/>
      <c r="P9" s="171"/>
      <c r="Q9" s="20"/>
    </row>
    <row r="10" spans="1:19" ht="17.100000000000001" customHeight="1" thickBot="1" x14ac:dyDescent="0.3">
      <c r="A10" s="20"/>
      <c r="B10" s="26"/>
      <c r="C10" s="2"/>
      <c r="D10" s="2"/>
      <c r="E10" s="29"/>
      <c r="F10" s="29"/>
      <c r="G10" s="29"/>
      <c r="H10" s="2"/>
      <c r="I10" s="2"/>
      <c r="J10" s="2"/>
      <c r="K10" s="2"/>
      <c r="L10" s="2"/>
      <c r="M10" s="2"/>
      <c r="N10" s="2"/>
      <c r="O10" s="2"/>
      <c r="P10" s="2"/>
      <c r="Q10" s="20"/>
    </row>
    <row r="11" spans="1:19" ht="17.100000000000001" customHeight="1" x14ac:dyDescent="0.25">
      <c r="A11" s="20"/>
      <c r="B11" s="181" t="str">
        <f>_xlfn.CONCAT("Matrix ","[",C5,"]")</f>
        <v>Matrix [B]</v>
      </c>
      <c r="C11" s="182" t="s">
        <v>2</v>
      </c>
      <c r="D11" s="183" t="s">
        <v>3</v>
      </c>
      <c r="E11" s="39">
        <v>1</v>
      </c>
      <c r="F11" s="180" t="s">
        <v>4</v>
      </c>
      <c r="G11" s="223"/>
      <c r="H11" s="166" t="str">
        <f>_xlfn.CONCAT("Enter values for Matrix [",C5,"] here")</f>
        <v>Enter values for Matrix [B] here</v>
      </c>
      <c r="I11" s="167"/>
      <c r="J11" s="167"/>
      <c r="K11" s="167"/>
      <c r="L11" s="167"/>
      <c r="M11" s="168"/>
      <c r="Q11" s="20"/>
    </row>
    <row r="12" spans="1:19" ht="17.100000000000001" customHeight="1" x14ac:dyDescent="0.25">
      <c r="A12" s="20"/>
      <c r="B12" s="181"/>
      <c r="C12" s="182"/>
      <c r="D12" s="183"/>
      <c r="E12" s="39">
        <v>2</v>
      </c>
      <c r="F12" s="180"/>
      <c r="G12" s="223"/>
      <c r="H12" s="217"/>
      <c r="I12" s="218"/>
      <c r="J12" s="218"/>
      <c r="K12" s="218"/>
      <c r="L12" s="218"/>
      <c r="M12" s="219"/>
      <c r="Q12" s="20"/>
    </row>
    <row r="13" spans="1:19" ht="17.100000000000001" customHeight="1" thickBot="1" x14ac:dyDescent="0.3">
      <c r="A13" s="20"/>
      <c r="B13" s="181"/>
      <c r="C13" s="182"/>
      <c r="D13" s="184"/>
      <c r="E13" s="39">
        <v>3</v>
      </c>
      <c r="F13" s="199"/>
      <c r="G13" s="223"/>
      <c r="H13" s="169"/>
      <c r="I13" s="170"/>
      <c r="J13" s="170"/>
      <c r="K13" s="170"/>
      <c r="L13" s="170"/>
      <c r="M13" s="171"/>
      <c r="Q13" s="20"/>
    </row>
    <row r="14" spans="1:19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0"/>
    </row>
    <row r="15" spans="1:19" ht="17.100000000000001" customHeight="1" x14ac:dyDescent="0.25">
      <c r="A15" s="20"/>
      <c r="B15" s="181" t="str">
        <f>_xlfn.CONCAT("Matrix ","[",C4,"]",_xlfn.UNICHAR(215),"[",C5,"]")</f>
        <v>Matrix [A]×[B]</v>
      </c>
      <c r="C15" s="182" t="s">
        <v>2</v>
      </c>
      <c r="D15" s="180" t="s">
        <v>3</v>
      </c>
      <c r="E15" s="28">
        <f t="shared" ref="E15:G16" si="0">E8</f>
        <v>1</v>
      </c>
      <c r="F15" s="28">
        <f t="shared" si="0"/>
        <v>2</v>
      </c>
      <c r="G15" s="28">
        <f t="shared" si="0"/>
        <v>3</v>
      </c>
      <c r="H15" s="180" t="s">
        <v>4</v>
      </c>
      <c r="I15" s="187" t="str">
        <f>_xlfn.UNICHAR(215)</f>
        <v>×</v>
      </c>
      <c r="J15" s="183" t="s">
        <v>3</v>
      </c>
      <c r="K15" s="28">
        <f>E11</f>
        <v>1</v>
      </c>
      <c r="L15" s="180" t="s">
        <v>4</v>
      </c>
      <c r="O15" s="2"/>
      <c r="P15" s="2"/>
      <c r="Q15" s="20"/>
    </row>
    <row r="16" spans="1:19" ht="17.100000000000001" customHeight="1" x14ac:dyDescent="0.25">
      <c r="A16" s="20"/>
      <c r="B16" s="181"/>
      <c r="C16" s="182"/>
      <c r="D16" s="180"/>
      <c r="E16" s="28">
        <f t="shared" si="0"/>
        <v>4</v>
      </c>
      <c r="F16" s="28">
        <f t="shared" si="0"/>
        <v>5</v>
      </c>
      <c r="G16" s="28">
        <f t="shared" si="0"/>
        <v>6</v>
      </c>
      <c r="H16" s="180"/>
      <c r="I16" s="187"/>
      <c r="J16" s="183"/>
      <c r="K16" s="28">
        <f t="shared" ref="K16:K17" si="1">E12</f>
        <v>2</v>
      </c>
      <c r="L16" s="180"/>
      <c r="O16" s="2"/>
      <c r="P16" s="2"/>
      <c r="Q16" s="20"/>
    </row>
    <row r="17" spans="1:17" ht="17.100000000000001" customHeight="1" x14ac:dyDescent="0.25">
      <c r="A17" s="20"/>
      <c r="B17" s="181"/>
      <c r="C17" s="182"/>
      <c r="D17" s="31"/>
      <c r="E17" s="28"/>
      <c r="F17" s="28"/>
      <c r="G17" s="28"/>
      <c r="H17" s="64"/>
      <c r="I17" s="187"/>
      <c r="J17" s="183"/>
      <c r="K17" s="28">
        <f t="shared" si="1"/>
        <v>3</v>
      </c>
      <c r="L17" s="180"/>
      <c r="O17" s="2"/>
      <c r="P17" s="2"/>
      <c r="Q17" s="20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0"/>
    </row>
    <row r="19" spans="1:17" ht="17.100000000000001" customHeight="1" x14ac:dyDescent="0.25">
      <c r="A19" s="20"/>
      <c r="B19" s="181" t="str">
        <f>B15</f>
        <v>Matrix [A]×[B]</v>
      </c>
      <c r="C19" s="182" t="s">
        <v>2</v>
      </c>
      <c r="D19" s="183" t="s">
        <v>3</v>
      </c>
      <c r="E19" s="179" t="str">
        <f>_xlfn.CONCAT("(",E15,_xlfn.UNICHAR(215),K15,") + (",F15,_xlfn.UNICHAR(215),K16,") + (",G15,_xlfn.UNICHAR(215),K17,")")</f>
        <v>(1×1) + (2×2) + (3×3)</v>
      </c>
      <c r="F19" s="179"/>
      <c r="G19" s="179"/>
      <c r="H19" s="180" t="s">
        <v>4</v>
      </c>
      <c r="I19" s="44"/>
      <c r="J19" s="44"/>
      <c r="K19" s="44"/>
      <c r="L19" s="44"/>
      <c r="M19" s="31"/>
      <c r="N19" s="41"/>
      <c r="O19" s="41"/>
      <c r="P19" s="41"/>
      <c r="Q19" s="20"/>
    </row>
    <row r="20" spans="1:17" ht="17.100000000000001" customHeight="1" x14ac:dyDescent="0.25">
      <c r="A20" s="20"/>
      <c r="B20" s="181"/>
      <c r="C20" s="182"/>
      <c r="D20" s="183"/>
      <c r="E20" s="185" t="str">
        <f>_xlfn.CONCAT("(",E16,_xlfn.UNICHAR(215),K15,") + (",F16,_xlfn.UNICHAR(215),K16,") + (",G16,_xlfn.UNICHAR(215),K17,")")</f>
        <v>(4×1) + (5×2) + (6×3)</v>
      </c>
      <c r="F20" s="185"/>
      <c r="G20" s="185"/>
      <c r="H20" s="180"/>
      <c r="I20" s="69"/>
      <c r="J20" s="69"/>
      <c r="K20" s="69"/>
      <c r="L20" s="69"/>
      <c r="M20" s="31"/>
      <c r="N20" s="42"/>
      <c r="O20" s="42"/>
      <c r="P20" s="42"/>
      <c r="Q20" s="20"/>
    </row>
    <row r="21" spans="1:17" ht="17.100000000000001" customHeight="1" x14ac:dyDescent="0.25">
      <c r="A21" s="20"/>
      <c r="B21" s="26"/>
      <c r="C21" s="2"/>
      <c r="D21" s="2"/>
      <c r="E21" s="29"/>
      <c r="F21" s="29"/>
      <c r="G21" s="29"/>
      <c r="H21" s="2"/>
      <c r="I21" s="2"/>
      <c r="J21" s="2"/>
      <c r="K21" s="2"/>
      <c r="L21" s="2"/>
      <c r="M21" s="2"/>
      <c r="N21" s="2"/>
      <c r="O21" s="2"/>
      <c r="P21" s="2"/>
      <c r="Q21" s="20"/>
    </row>
    <row r="22" spans="1:17" ht="17.100000000000001" customHeight="1" x14ac:dyDescent="0.25">
      <c r="A22" s="20"/>
      <c r="B22" s="222" t="str">
        <f>B15</f>
        <v>Matrix [A]×[B]</v>
      </c>
      <c r="C22" s="182" t="s">
        <v>2</v>
      </c>
      <c r="D22" s="183" t="s">
        <v>3</v>
      </c>
      <c r="E22" s="34">
        <f t="array" ref="E22:E23">MMULT(E15:G16,K15:K17)</f>
        <v>14</v>
      </c>
      <c r="F22" s="180" t="s">
        <v>4</v>
      </c>
      <c r="G22" s="41"/>
      <c r="I22" s="31"/>
      <c r="J22" s="31"/>
      <c r="K22" s="2"/>
      <c r="L22" s="2"/>
      <c r="M22" s="2"/>
      <c r="N22" s="2"/>
      <c r="O22" s="2"/>
      <c r="P22" s="2"/>
      <c r="Q22" s="20"/>
    </row>
    <row r="23" spans="1:17" ht="17.100000000000001" customHeight="1" x14ac:dyDescent="0.25">
      <c r="A23" s="20"/>
      <c r="B23" s="222"/>
      <c r="C23" s="182"/>
      <c r="D23" s="183"/>
      <c r="E23" s="40">
        <v>32</v>
      </c>
      <c r="F23" s="180"/>
      <c r="G23" s="42"/>
      <c r="I23" s="31"/>
      <c r="J23" s="31"/>
      <c r="K23" s="2"/>
      <c r="L23" s="2"/>
      <c r="M23" s="2"/>
      <c r="N23" s="2"/>
      <c r="O23" s="2"/>
      <c r="P23" s="2"/>
      <c r="Q23" s="20"/>
    </row>
    <row r="24" spans="1:17" ht="17.100000000000001" customHeight="1" thickBot="1" x14ac:dyDescent="0.3">
      <c r="A24" s="20"/>
      <c r="B24" s="35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36"/>
    </row>
    <row r="25" spans="1:17" ht="16.5" thickTop="1" x14ac:dyDescent="0.25"/>
  </sheetData>
  <sheetProtection algorithmName="SHA-512" hashValue="4OKrdy3RPJLrKgIwzpW/3E7IVB+HAV/CvySjTrus+eIuwwUtVsnw0oMZNT5ygUBgYvNNTGZliSbdoNPRXSCvfw==" saltValue="a+tzLlxydzyj0ctq6wwpUQ==" spinCount="100000" sheet="1" objects="1" scenarios="1"/>
  <mergeCells count="31">
    <mergeCell ref="D8:D9"/>
    <mergeCell ref="H8:H9"/>
    <mergeCell ref="I8:J9"/>
    <mergeCell ref="K8:P9"/>
    <mergeCell ref="B2:Q2"/>
    <mergeCell ref="D4:Q5"/>
    <mergeCell ref="B8:B9"/>
    <mergeCell ref="C8:C9"/>
    <mergeCell ref="H11:M13"/>
    <mergeCell ref="H15:H16"/>
    <mergeCell ref="D15:D16"/>
    <mergeCell ref="H19:H20"/>
    <mergeCell ref="E20:G20"/>
    <mergeCell ref="L15:L17"/>
    <mergeCell ref="D19:D20"/>
    <mergeCell ref="E19:G19"/>
    <mergeCell ref="I15:I17"/>
    <mergeCell ref="J15:J17"/>
    <mergeCell ref="D11:D13"/>
    <mergeCell ref="F11:F13"/>
    <mergeCell ref="B22:B23"/>
    <mergeCell ref="C22:C23"/>
    <mergeCell ref="D22:D23"/>
    <mergeCell ref="F22:F23"/>
    <mergeCell ref="G11:G13"/>
    <mergeCell ref="B19:B20"/>
    <mergeCell ref="C19:C20"/>
    <mergeCell ref="B15:B17"/>
    <mergeCell ref="C15:C17"/>
    <mergeCell ref="B11:B13"/>
    <mergeCell ref="C11:C13"/>
  </mergeCells>
  <hyperlinks>
    <hyperlink ref="S2" location="'Main Page'!A1" display="Go to TOC Sheet" xr:uid="{1017B2C2-7E25-42DC-ACCC-48E5DFF88657}"/>
  </hyperlinks>
  <pageMargins left="0.7" right="0.7" top="0.75" bottom="0.75" header="0.3" footer="0.3"/>
  <pageSetup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21F64-F113-464C-B7D5-A06978691162}">
  <sheetPr codeName="Sheet14"/>
  <dimension ref="A1:S25"/>
  <sheetViews>
    <sheetView zoomScale="130" zoomScaleNormal="130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13" t="s">
        <v>9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5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5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5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39">
        <v>1</v>
      </c>
      <c r="F8" s="39">
        <v>2</v>
      </c>
      <c r="G8" s="39">
        <v>3</v>
      </c>
      <c r="H8" s="180" t="s">
        <v>4</v>
      </c>
      <c r="I8" s="216"/>
      <c r="J8" s="216"/>
      <c r="K8" s="166" t="str">
        <f>_xlfn.CONCAT("Enter values for Matrix [",C4,"] here")</f>
        <v>Enter values for Matrix [A] here</v>
      </c>
      <c r="L8" s="167"/>
      <c r="M8" s="167"/>
      <c r="N8" s="167"/>
      <c r="O8" s="167"/>
      <c r="P8" s="168"/>
      <c r="Q8" s="52"/>
    </row>
    <row r="9" spans="1:19" s="53" customFormat="1" ht="17.100000000000001" customHeight="1" thickBot="1" x14ac:dyDescent="0.3">
      <c r="A9" s="52"/>
      <c r="B9" s="181"/>
      <c r="C9" s="182"/>
      <c r="D9" s="183"/>
      <c r="E9" s="39">
        <v>4</v>
      </c>
      <c r="F9" s="39">
        <v>5</v>
      </c>
      <c r="G9" s="39">
        <v>6</v>
      </c>
      <c r="H9" s="180"/>
      <c r="I9" s="216"/>
      <c r="J9" s="216"/>
      <c r="K9" s="169"/>
      <c r="L9" s="170"/>
      <c r="M9" s="170"/>
      <c r="N9" s="170"/>
      <c r="O9" s="170"/>
      <c r="P9" s="171"/>
      <c r="Q9" s="52"/>
    </row>
    <row r="10" spans="1:19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0"/>
    </row>
    <row r="11" spans="1:19" ht="17.100000000000001" customHeight="1" x14ac:dyDescent="0.25">
      <c r="A11" s="50"/>
      <c r="B11" s="181" t="str">
        <f>_xlfn.CONCAT("Matrix ","[",C5,"]")</f>
        <v>Matrix [B]</v>
      </c>
      <c r="C11" s="182" t="s">
        <v>2</v>
      </c>
      <c r="D11" s="183" t="s">
        <v>3</v>
      </c>
      <c r="E11" s="39">
        <v>1</v>
      </c>
      <c r="F11" s="39">
        <v>2</v>
      </c>
      <c r="G11" s="180" t="s">
        <v>4</v>
      </c>
      <c r="H11" s="226"/>
      <c r="I11" s="226"/>
      <c r="J11" s="166" t="str">
        <f>_xlfn.CONCAT("Enter values for Matrix [",C5,"] here")</f>
        <v>Enter values for Matrix [B] here</v>
      </c>
      <c r="K11" s="167"/>
      <c r="L11" s="167"/>
      <c r="M11" s="167"/>
      <c r="N11" s="167"/>
      <c r="O11" s="168"/>
      <c r="Q11" s="50"/>
    </row>
    <row r="12" spans="1:19" ht="17.100000000000001" customHeight="1" x14ac:dyDescent="0.25">
      <c r="A12" s="50"/>
      <c r="B12" s="181"/>
      <c r="C12" s="182"/>
      <c r="D12" s="183"/>
      <c r="E12" s="39">
        <v>3</v>
      </c>
      <c r="F12" s="39">
        <v>4</v>
      </c>
      <c r="G12" s="180"/>
      <c r="H12" s="226"/>
      <c r="I12" s="226"/>
      <c r="J12" s="217"/>
      <c r="K12" s="218"/>
      <c r="L12" s="218"/>
      <c r="M12" s="218"/>
      <c r="N12" s="218"/>
      <c r="O12" s="219"/>
      <c r="Q12" s="50"/>
    </row>
    <row r="13" spans="1:19" ht="17.100000000000001" customHeight="1" thickBot="1" x14ac:dyDescent="0.3">
      <c r="A13" s="50"/>
      <c r="B13" s="181"/>
      <c r="C13" s="182"/>
      <c r="D13" s="184"/>
      <c r="E13" s="39">
        <v>5</v>
      </c>
      <c r="F13" s="39">
        <v>6</v>
      </c>
      <c r="G13" s="199"/>
      <c r="H13" s="226"/>
      <c r="I13" s="226"/>
      <c r="J13" s="169"/>
      <c r="K13" s="170"/>
      <c r="L13" s="170"/>
      <c r="M13" s="170"/>
      <c r="N13" s="170"/>
      <c r="O13" s="171"/>
      <c r="Q13" s="50"/>
    </row>
    <row r="14" spans="1:19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0"/>
    </row>
    <row r="15" spans="1:19" ht="17.100000000000001" customHeight="1" x14ac:dyDescent="0.25">
      <c r="A15" s="50"/>
      <c r="B15" s="181" t="str">
        <f>_xlfn.CONCAT("Matrix ","[",C4,"]",_xlfn.UNICHAR(215),"[",C5,"]")</f>
        <v>Matrix [A]×[B]</v>
      </c>
      <c r="C15" s="182" t="s">
        <v>2</v>
      </c>
      <c r="D15" s="183" t="s">
        <v>3</v>
      </c>
      <c r="E15" s="28">
        <f t="shared" ref="E15:G16" si="0">E8</f>
        <v>1</v>
      </c>
      <c r="F15" s="28">
        <f t="shared" si="0"/>
        <v>2</v>
      </c>
      <c r="G15" s="28">
        <f t="shared" si="0"/>
        <v>3</v>
      </c>
      <c r="H15" s="183" t="s">
        <v>4</v>
      </c>
      <c r="I15" s="187" t="str">
        <f>_xlfn.UNICHAR(215)</f>
        <v>×</v>
      </c>
      <c r="J15" s="183" t="s">
        <v>3</v>
      </c>
      <c r="K15" s="28">
        <f>E11</f>
        <v>1</v>
      </c>
      <c r="L15" s="28">
        <f t="shared" ref="L15:L17" si="1">F11</f>
        <v>2</v>
      </c>
      <c r="M15" s="180" t="s">
        <v>4</v>
      </c>
      <c r="O15" s="5"/>
      <c r="P15" s="5"/>
      <c r="Q15" s="50"/>
    </row>
    <row r="16" spans="1:19" ht="17.100000000000001" customHeight="1" x14ac:dyDescent="0.25">
      <c r="A16" s="50"/>
      <c r="B16" s="181"/>
      <c r="C16" s="182"/>
      <c r="D16" s="183"/>
      <c r="E16" s="28">
        <f t="shared" si="0"/>
        <v>4</v>
      </c>
      <c r="F16" s="28">
        <f t="shared" si="0"/>
        <v>5</v>
      </c>
      <c r="G16" s="28">
        <f t="shared" si="0"/>
        <v>6</v>
      </c>
      <c r="H16" s="183"/>
      <c r="I16" s="187"/>
      <c r="J16" s="183"/>
      <c r="K16" s="28">
        <f t="shared" ref="K16:K17" si="2">E12</f>
        <v>3</v>
      </c>
      <c r="L16" s="28">
        <f t="shared" si="1"/>
        <v>4</v>
      </c>
      <c r="M16" s="180"/>
      <c r="O16" s="5"/>
      <c r="P16" s="5"/>
      <c r="Q16" s="50"/>
    </row>
    <row r="17" spans="1:17" ht="17.100000000000001" customHeight="1" x14ac:dyDescent="0.25">
      <c r="A17" s="50"/>
      <c r="B17" s="181"/>
      <c r="C17" s="182"/>
      <c r="D17" s="58"/>
      <c r="E17" s="28"/>
      <c r="F17" s="28"/>
      <c r="G17" s="28"/>
      <c r="H17" s="56"/>
      <c r="I17" s="187"/>
      <c r="J17" s="183"/>
      <c r="K17" s="28">
        <f t="shared" si="2"/>
        <v>5</v>
      </c>
      <c r="L17" s="28">
        <f t="shared" si="1"/>
        <v>6</v>
      </c>
      <c r="M17" s="180"/>
      <c r="O17" s="5"/>
      <c r="P17" s="5"/>
      <c r="Q17" s="50"/>
    </row>
    <row r="18" spans="1:17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0"/>
    </row>
    <row r="19" spans="1:17" ht="17.100000000000001" customHeight="1" x14ac:dyDescent="0.25">
      <c r="A19" s="50"/>
      <c r="B19" s="181" t="str">
        <f>B15</f>
        <v>Matrix [A]×[B]</v>
      </c>
      <c r="C19" s="182" t="s">
        <v>2</v>
      </c>
      <c r="D19" s="183" t="s">
        <v>3</v>
      </c>
      <c r="E19" s="224" t="str">
        <f>_xlfn.CONCAT("(",E15,_xlfn.UNICHAR(215),K15,") + (",F15,_xlfn.UNICHAR(215),K16,") + (",G15,_xlfn.UNICHAR(215),K17,")")</f>
        <v>(1×1) + (2×3) + (3×5)</v>
      </c>
      <c r="F19" s="224"/>
      <c r="G19" s="224"/>
      <c r="H19" s="5"/>
      <c r="I19" s="206" t="str">
        <f>_xlfn.CONCAT("(",E15,_xlfn.UNICHAR(215),L15,") + (",F15,_xlfn.UNICHAR(215),L16,") + (",G15,_xlfn.UNICHAR(215),L17,")")</f>
        <v>(1×2) + (2×4) + (3×6)</v>
      </c>
      <c r="J19" s="206"/>
      <c r="K19" s="206"/>
      <c r="L19" s="206"/>
      <c r="M19" s="208" t="s">
        <v>4</v>
      </c>
      <c r="N19" s="207"/>
      <c r="O19" s="207"/>
      <c r="P19" s="207"/>
      <c r="Q19" s="50"/>
    </row>
    <row r="20" spans="1:17" ht="17.100000000000001" customHeight="1" x14ac:dyDescent="0.25">
      <c r="A20" s="50"/>
      <c r="B20" s="181"/>
      <c r="C20" s="182"/>
      <c r="D20" s="183"/>
      <c r="E20" s="225" t="str">
        <f>_xlfn.CONCAT("(",E16,_xlfn.UNICHAR(215),K15,") + (",F16,_xlfn.UNICHAR(215),K16,") + (",G16,_xlfn.UNICHAR(215),K17,")")</f>
        <v>(4×1) + (5×3) + (6×5)</v>
      </c>
      <c r="F20" s="225"/>
      <c r="G20" s="225"/>
      <c r="H20" s="5"/>
      <c r="I20" s="209" t="str">
        <f>_xlfn.CONCAT("(",E16,_xlfn.UNICHAR(215),L15,") + (",F16,_xlfn.UNICHAR(215),L16,") + (",G16,_xlfn.UNICHAR(215),L17,")")</f>
        <v>(4×2) + (5×4) + (6×6)</v>
      </c>
      <c r="J20" s="209"/>
      <c r="K20" s="209"/>
      <c r="L20" s="209"/>
      <c r="M20" s="208"/>
      <c r="N20" s="210"/>
      <c r="O20" s="210"/>
      <c r="P20" s="210"/>
      <c r="Q20" s="50"/>
    </row>
    <row r="21" spans="1:17" ht="17.100000000000001" customHeight="1" x14ac:dyDescent="0.25">
      <c r="A21" s="50"/>
      <c r="B21" s="26"/>
      <c r="C21" s="2"/>
      <c r="D21" s="5"/>
      <c r="E21" s="54"/>
      <c r="F21" s="54"/>
      <c r="G21" s="54"/>
      <c r="H21" s="5"/>
      <c r="I21" s="5"/>
      <c r="J21" s="5"/>
      <c r="K21" s="5"/>
      <c r="L21" s="5"/>
      <c r="M21" s="5"/>
      <c r="N21" s="5"/>
      <c r="O21" s="5"/>
      <c r="P21" s="5"/>
      <c r="Q21" s="50"/>
    </row>
    <row r="22" spans="1:17" ht="17.100000000000001" customHeight="1" x14ac:dyDescent="0.25">
      <c r="A22" s="50"/>
      <c r="B22" s="222" t="str">
        <f>B15</f>
        <v>Matrix [A]×[B]</v>
      </c>
      <c r="C22" s="182" t="s">
        <v>2</v>
      </c>
      <c r="D22" s="183" t="s">
        <v>3</v>
      </c>
      <c r="E22" s="34">
        <f t="array" ref="E22:F23">MMULT(E15:G16,K15:L17)</f>
        <v>22</v>
      </c>
      <c r="F22" s="44">
        <v>28</v>
      </c>
      <c r="G22" s="180" t="s">
        <v>4</v>
      </c>
      <c r="I22" s="31"/>
      <c r="J22" s="31"/>
      <c r="K22" s="5"/>
      <c r="L22" s="5"/>
      <c r="M22" s="5"/>
      <c r="N22" s="5"/>
      <c r="O22" s="5"/>
      <c r="P22" s="5"/>
      <c r="Q22" s="50"/>
    </row>
    <row r="23" spans="1:17" ht="17.100000000000001" customHeight="1" x14ac:dyDescent="0.25">
      <c r="A23" s="50"/>
      <c r="B23" s="222"/>
      <c r="C23" s="182"/>
      <c r="D23" s="183"/>
      <c r="E23" s="40">
        <v>49</v>
      </c>
      <c r="F23" s="69">
        <v>64</v>
      </c>
      <c r="G23" s="180"/>
      <c r="I23" s="31"/>
      <c r="J23" s="31"/>
      <c r="K23" s="5"/>
      <c r="L23" s="5"/>
      <c r="M23" s="5"/>
      <c r="N23" s="5"/>
      <c r="O23" s="5"/>
      <c r="P23" s="5"/>
      <c r="Q23" s="50"/>
    </row>
    <row r="24" spans="1:17" ht="17.100000000000001" customHeight="1" thickBot="1" x14ac:dyDescent="0.3">
      <c r="A24" s="50"/>
      <c r="B24" s="35"/>
      <c r="C24" s="23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60"/>
    </row>
    <row r="25" spans="1:17" ht="16.5" thickTop="1" x14ac:dyDescent="0.25"/>
  </sheetData>
  <sheetProtection algorithmName="SHA-512" hashValue="SKAjiGwsAMj/9FYfISem17CiKOHgGbhdoYRrBzjCVQ4J+ijhKIAzTmJuzq8+3eiTFBYBB3rkFWjGmVavau8oTA==" saltValue="gyypOG2vnhBkuME5/GaT0g==" spinCount="100000" sheet="1" objects="1" scenarios="1"/>
  <mergeCells count="35">
    <mergeCell ref="B2:Q2"/>
    <mergeCell ref="B11:B13"/>
    <mergeCell ref="C11:C13"/>
    <mergeCell ref="D11:D13"/>
    <mergeCell ref="G11:G13"/>
    <mergeCell ref="D4:Q5"/>
    <mergeCell ref="B8:B9"/>
    <mergeCell ref="C8:C9"/>
    <mergeCell ref="D8:D9"/>
    <mergeCell ref="H8:H9"/>
    <mergeCell ref="I8:J9"/>
    <mergeCell ref="K8:P9"/>
    <mergeCell ref="H11:I13"/>
    <mergeCell ref="J11:O13"/>
    <mergeCell ref="M19:M20"/>
    <mergeCell ref="N20:P20"/>
    <mergeCell ref="M15:M17"/>
    <mergeCell ref="I19:L19"/>
    <mergeCell ref="N19:P19"/>
    <mergeCell ref="I20:L20"/>
    <mergeCell ref="I15:I17"/>
    <mergeCell ref="J15:J17"/>
    <mergeCell ref="E20:G20"/>
    <mergeCell ref="D15:D16"/>
    <mergeCell ref="H15:H16"/>
    <mergeCell ref="B22:B23"/>
    <mergeCell ref="C22:C23"/>
    <mergeCell ref="D22:D23"/>
    <mergeCell ref="G22:G23"/>
    <mergeCell ref="B19:B20"/>
    <mergeCell ref="C19:C20"/>
    <mergeCell ref="D19:D20"/>
    <mergeCell ref="E19:G19"/>
    <mergeCell ref="B15:B17"/>
    <mergeCell ref="C15:C17"/>
  </mergeCells>
  <hyperlinks>
    <hyperlink ref="S2" location="'Main Page'!A1" display="Go to TOC Sheet" xr:uid="{C2AD1CA2-9830-4460-B218-BF045B0FE791}"/>
  </hyperlinks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C4AF1-024E-4FAD-8290-3C9CA2B4017F}">
  <sheetPr codeName="Sheet15"/>
  <dimension ref="A1:V26"/>
  <sheetViews>
    <sheetView topLeftCell="B1" zoomScale="130" zoomScaleNormal="130" workbookViewId="0">
      <selection activeCell="V2" sqref="V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5.140625" style="45" bestFit="1" customWidth="1"/>
    <col min="20" max="20" width="2.7109375" style="45" customWidth="1"/>
    <col min="21" max="21" width="9.140625" style="45"/>
    <col min="22" max="22" width="19" style="45" customWidth="1"/>
    <col min="23" max="16384" width="9.140625" style="45"/>
  </cols>
  <sheetData>
    <row r="1" spans="1:22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2" ht="17.25" thickTop="1" thickBot="1" x14ac:dyDescent="0.3">
      <c r="B2" s="213" t="s">
        <v>43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5"/>
      <c r="V2" s="18" t="s">
        <v>52</v>
      </c>
    </row>
    <row r="3" spans="1:22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74"/>
    </row>
    <row r="5" spans="1:22" ht="24.95" customHeight="1" thickBot="1" x14ac:dyDescent="0.3">
      <c r="A5" s="5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205"/>
    </row>
    <row r="6" spans="1:22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2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1"/>
    </row>
    <row r="8" spans="1:22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39">
        <v>3</v>
      </c>
      <c r="F8" s="39">
        <v>1</v>
      </c>
      <c r="G8" s="39">
        <v>0</v>
      </c>
      <c r="H8" s="180" t="s">
        <v>4</v>
      </c>
      <c r="I8" s="216"/>
      <c r="J8" s="216"/>
      <c r="K8" s="166" t="str">
        <f>_xlfn.CONCAT("Enter values for Matrix [",C4,"] here")</f>
        <v>Enter values for Matrix [A] here</v>
      </c>
      <c r="L8" s="167"/>
      <c r="M8" s="167"/>
      <c r="N8" s="167"/>
      <c r="O8" s="167"/>
      <c r="P8" s="168"/>
      <c r="Q8" s="66"/>
      <c r="R8" s="66"/>
      <c r="S8" s="66"/>
      <c r="T8" s="52"/>
    </row>
    <row r="9" spans="1:22" s="53" customFormat="1" ht="17.100000000000001" customHeight="1" x14ac:dyDescent="0.25">
      <c r="A9" s="52"/>
      <c r="B9" s="181"/>
      <c r="C9" s="182"/>
      <c r="D9" s="183"/>
      <c r="E9" s="39">
        <v>-1</v>
      </c>
      <c r="F9" s="39">
        <v>0</v>
      </c>
      <c r="G9" s="39">
        <v>3</v>
      </c>
      <c r="H9" s="180"/>
      <c r="I9" s="216"/>
      <c r="J9" s="216"/>
      <c r="K9" s="217"/>
      <c r="L9" s="218"/>
      <c r="M9" s="218"/>
      <c r="N9" s="218"/>
      <c r="O9" s="218"/>
      <c r="P9" s="219"/>
      <c r="Q9" s="66"/>
      <c r="R9" s="66"/>
      <c r="S9" s="66"/>
      <c r="T9" s="52"/>
    </row>
    <row r="10" spans="1:22" ht="17.100000000000001" customHeight="1" thickBot="1" x14ac:dyDescent="0.3">
      <c r="A10" s="50"/>
      <c r="B10" s="26"/>
      <c r="C10" s="2"/>
      <c r="D10" s="5"/>
      <c r="E10" s="54"/>
      <c r="F10" s="54"/>
      <c r="G10" s="54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0"/>
    </row>
    <row r="11" spans="1:22" ht="17.100000000000001" customHeight="1" x14ac:dyDescent="0.25">
      <c r="A11" s="50"/>
      <c r="B11" s="181" t="str">
        <f>_xlfn.CONCAT("Matrix ","[",C5,"]")</f>
        <v>Matrix [B]</v>
      </c>
      <c r="C11" s="182" t="s">
        <v>2</v>
      </c>
      <c r="D11" s="183" t="s">
        <v>3</v>
      </c>
      <c r="E11" s="39">
        <v>3</v>
      </c>
      <c r="F11" s="39">
        <v>1</v>
      </c>
      <c r="G11" s="39">
        <v>2</v>
      </c>
      <c r="H11" s="180" t="s">
        <v>4</v>
      </c>
      <c r="I11" s="216"/>
      <c r="J11" s="216"/>
      <c r="K11" s="166" t="str">
        <f>_xlfn.CONCAT("Enter values for Matrix [",C5,"] here")</f>
        <v>Enter values for Matrix [B] here</v>
      </c>
      <c r="L11" s="167"/>
      <c r="M11" s="167"/>
      <c r="N11" s="167"/>
      <c r="O11" s="167"/>
      <c r="P11" s="168"/>
      <c r="Q11" s="5"/>
      <c r="R11" s="5"/>
      <c r="S11" s="5"/>
      <c r="T11" s="50"/>
    </row>
    <row r="12" spans="1:22" ht="17.100000000000001" customHeight="1" x14ac:dyDescent="0.25">
      <c r="A12" s="50"/>
      <c r="B12" s="181"/>
      <c r="C12" s="182"/>
      <c r="D12" s="183"/>
      <c r="E12" s="39">
        <v>1</v>
      </c>
      <c r="F12" s="39">
        <v>4</v>
      </c>
      <c r="G12" s="39">
        <v>0</v>
      </c>
      <c r="H12" s="180"/>
      <c r="I12" s="216"/>
      <c r="J12" s="216"/>
      <c r="K12" s="217"/>
      <c r="L12" s="218"/>
      <c r="M12" s="218"/>
      <c r="N12" s="218"/>
      <c r="O12" s="218"/>
      <c r="P12" s="219"/>
      <c r="Q12" s="5"/>
      <c r="R12" s="5"/>
      <c r="S12" s="5"/>
      <c r="T12" s="50"/>
    </row>
    <row r="13" spans="1:22" ht="17.100000000000001" customHeight="1" thickBot="1" x14ac:dyDescent="0.3">
      <c r="A13" s="50"/>
      <c r="B13" s="181"/>
      <c r="C13" s="182"/>
      <c r="D13" s="184"/>
      <c r="E13" s="39">
        <v>2</v>
      </c>
      <c r="F13" s="39">
        <v>0</v>
      </c>
      <c r="G13" s="39">
        <v>3</v>
      </c>
      <c r="H13" s="199"/>
      <c r="I13" s="216"/>
      <c r="J13" s="216"/>
      <c r="K13" s="169"/>
      <c r="L13" s="170"/>
      <c r="M13" s="170"/>
      <c r="N13" s="170"/>
      <c r="O13" s="170"/>
      <c r="P13" s="171"/>
      <c r="Q13" s="5"/>
      <c r="R13" s="5"/>
      <c r="S13" s="5"/>
      <c r="T13" s="50"/>
    </row>
    <row r="14" spans="1:22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0"/>
    </row>
    <row r="15" spans="1:22" ht="17.100000000000001" customHeight="1" x14ac:dyDescent="0.25">
      <c r="A15" s="50"/>
      <c r="B15" s="181" t="str">
        <f>_xlfn.CONCAT("Matrix ","[",C4,"]",_xlfn.UNICHAR(215),"[",C5,"]")</f>
        <v>Matrix [A]×[B]</v>
      </c>
      <c r="C15" s="182" t="s">
        <v>2</v>
      </c>
      <c r="D15" s="183" t="s">
        <v>3</v>
      </c>
      <c r="E15" s="28">
        <f t="shared" ref="E15:G16" si="0">E8</f>
        <v>3</v>
      </c>
      <c r="F15" s="28">
        <f t="shared" si="0"/>
        <v>1</v>
      </c>
      <c r="G15" s="28">
        <f t="shared" si="0"/>
        <v>0</v>
      </c>
      <c r="H15" s="183" t="s">
        <v>4</v>
      </c>
      <c r="I15" s="187" t="str">
        <f>_xlfn.UNICHAR(215)</f>
        <v>×</v>
      </c>
      <c r="J15" s="183" t="s">
        <v>3</v>
      </c>
      <c r="K15" s="28">
        <f>E11</f>
        <v>3</v>
      </c>
      <c r="L15" s="28">
        <f t="shared" ref="L15:M17" si="1">F11</f>
        <v>1</v>
      </c>
      <c r="M15" s="28">
        <f t="shared" si="1"/>
        <v>2</v>
      </c>
      <c r="N15" s="180" t="s">
        <v>4</v>
      </c>
      <c r="O15" s="5"/>
      <c r="P15" s="5"/>
      <c r="Q15" s="5"/>
      <c r="R15" s="5"/>
      <c r="S15" s="5"/>
      <c r="T15" s="50"/>
    </row>
    <row r="16" spans="1:22" ht="17.100000000000001" customHeight="1" x14ac:dyDescent="0.25">
      <c r="A16" s="50"/>
      <c r="B16" s="181"/>
      <c r="C16" s="182"/>
      <c r="D16" s="183"/>
      <c r="E16" s="28">
        <f t="shared" si="0"/>
        <v>-1</v>
      </c>
      <c r="F16" s="28">
        <f t="shared" si="0"/>
        <v>0</v>
      </c>
      <c r="G16" s="28">
        <f t="shared" si="0"/>
        <v>3</v>
      </c>
      <c r="H16" s="183"/>
      <c r="I16" s="187"/>
      <c r="J16" s="183"/>
      <c r="K16" s="28">
        <f t="shared" ref="K16:K17" si="2">E12</f>
        <v>1</v>
      </c>
      <c r="L16" s="28">
        <f t="shared" si="1"/>
        <v>4</v>
      </c>
      <c r="M16" s="28">
        <f t="shared" si="1"/>
        <v>0</v>
      </c>
      <c r="N16" s="180"/>
      <c r="O16" s="5"/>
      <c r="P16" s="5"/>
      <c r="Q16" s="5"/>
      <c r="R16" s="5"/>
      <c r="S16" s="5"/>
      <c r="T16" s="50"/>
    </row>
    <row r="17" spans="1:20" ht="17.100000000000001" customHeight="1" x14ac:dyDescent="0.25">
      <c r="A17" s="50"/>
      <c r="B17" s="181"/>
      <c r="C17" s="182"/>
      <c r="D17" s="30"/>
      <c r="E17" s="28"/>
      <c r="F17" s="28"/>
      <c r="G17" s="28"/>
      <c r="H17" s="30"/>
      <c r="I17" s="187"/>
      <c r="J17" s="183"/>
      <c r="K17" s="28">
        <f t="shared" si="2"/>
        <v>2</v>
      </c>
      <c r="L17" s="28">
        <f t="shared" si="1"/>
        <v>0</v>
      </c>
      <c r="M17" s="28">
        <f t="shared" si="1"/>
        <v>3</v>
      </c>
      <c r="N17" s="180"/>
      <c r="O17" s="5"/>
      <c r="P17" s="5"/>
      <c r="Q17" s="5"/>
      <c r="R17" s="5"/>
      <c r="S17" s="5"/>
      <c r="T17" s="50"/>
    </row>
    <row r="18" spans="1:20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0"/>
    </row>
    <row r="19" spans="1:20" ht="17.100000000000001" customHeight="1" x14ac:dyDescent="0.25">
      <c r="A19" s="50"/>
      <c r="B19" s="181" t="str">
        <f>B15</f>
        <v>Matrix [A]×[B]</v>
      </c>
      <c r="C19" s="182" t="s">
        <v>2</v>
      </c>
      <c r="D19" s="183" t="s">
        <v>3</v>
      </c>
      <c r="E19" s="224" t="str">
        <f>_xlfn.CONCAT("(",E15,_xlfn.UNICHAR(215),K15,") + (",F15,_xlfn.UNICHAR(215),K16,") + (",G15,_xlfn.UNICHAR(215),K17,")")</f>
        <v>(3×3) + (1×1) + (0×2)</v>
      </c>
      <c r="F19" s="224"/>
      <c r="G19" s="224"/>
      <c r="H19" s="5"/>
      <c r="I19" s="206" t="str">
        <f>_xlfn.CONCAT("(",E15,_xlfn.UNICHAR(215),L15,") + (",F15,_xlfn.UNICHAR(215),L16,") + (",G15,_xlfn.UNICHAR(215),L17,")")</f>
        <v>(3×1) + (1×4) + (0×0)</v>
      </c>
      <c r="J19" s="206"/>
      <c r="K19" s="206"/>
      <c r="L19" s="206"/>
      <c r="M19" s="57"/>
      <c r="N19" s="207" t="str">
        <f>_xlfn.CONCAT("(",E15,_xlfn.UNICHAR(215),M15,") + (",F15,_xlfn.UNICHAR(215),M16,") + (",G15,_xlfn.UNICHAR(215),M17,")")</f>
        <v>(3×2) + (1×0) + (0×3)</v>
      </c>
      <c r="O19" s="207"/>
      <c r="P19" s="207"/>
      <c r="Q19" s="207"/>
      <c r="R19" s="207"/>
      <c r="S19" s="183" t="s">
        <v>4</v>
      </c>
      <c r="T19" s="50"/>
    </row>
    <row r="20" spans="1:20" ht="17.100000000000001" customHeight="1" x14ac:dyDescent="0.25">
      <c r="A20" s="50"/>
      <c r="B20" s="181"/>
      <c r="C20" s="182"/>
      <c r="D20" s="183"/>
      <c r="E20" s="225" t="str">
        <f>_xlfn.CONCAT("(",E16,_xlfn.UNICHAR(215),K15,") + (",F16,_xlfn.UNICHAR(215),K16,") + (",G16,_xlfn.UNICHAR(215),K17,")")</f>
        <v>(-1×3) + (0×1) + (3×2)</v>
      </c>
      <c r="F20" s="225"/>
      <c r="G20" s="225"/>
      <c r="H20" s="5"/>
      <c r="I20" s="209" t="str">
        <f>_xlfn.CONCAT("(",E16,_xlfn.UNICHAR(215),L15,") + (",F16,_xlfn.UNICHAR(215),L16,") + (",G16,_xlfn.UNICHAR(215),L17,")")</f>
        <v>(-1×1) + (0×4) + (3×0)</v>
      </c>
      <c r="J20" s="209"/>
      <c r="K20" s="209"/>
      <c r="L20" s="209"/>
      <c r="M20" s="57"/>
      <c r="N20" s="210" t="str">
        <f>_xlfn.CONCAT("(",E16,_xlfn.UNICHAR(215),M15,") + (",F16,_xlfn.UNICHAR(215),M16,") + (",G16,_xlfn.UNICHAR(215),M17,")")</f>
        <v>(-1×2) + (0×0) + (3×3)</v>
      </c>
      <c r="O20" s="210"/>
      <c r="P20" s="210"/>
      <c r="Q20" s="210"/>
      <c r="R20" s="210"/>
      <c r="S20" s="183"/>
      <c r="T20" s="50"/>
    </row>
    <row r="21" spans="1:20" ht="17.100000000000001" customHeight="1" x14ac:dyDescent="0.25">
      <c r="A21" s="50"/>
      <c r="B21" s="181"/>
      <c r="C21" s="182"/>
      <c r="D21" s="58"/>
      <c r="E21" s="227"/>
      <c r="F21" s="227"/>
      <c r="G21" s="227"/>
      <c r="H21" s="5"/>
      <c r="I21" s="211"/>
      <c r="J21" s="211"/>
      <c r="K21" s="211"/>
      <c r="L21" s="211"/>
      <c r="M21" s="57"/>
      <c r="N21" s="212"/>
      <c r="O21" s="212"/>
      <c r="P21" s="212"/>
      <c r="Q21" s="212"/>
      <c r="R21" s="212"/>
      <c r="S21" s="30"/>
      <c r="T21" s="50"/>
    </row>
    <row r="22" spans="1:20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0"/>
    </row>
    <row r="23" spans="1:20" ht="17.100000000000001" customHeight="1" x14ac:dyDescent="0.25">
      <c r="A23" s="50"/>
      <c r="B23" s="222" t="str">
        <f>B15</f>
        <v>Matrix [A]×[B]</v>
      </c>
      <c r="C23" s="182" t="s">
        <v>2</v>
      </c>
      <c r="D23" s="183" t="s">
        <v>3</v>
      </c>
      <c r="E23" s="34">
        <f t="array" ref="E23:G24">MMULT(E15:G16,K15:M17)</f>
        <v>10</v>
      </c>
      <c r="F23" s="44">
        <v>7</v>
      </c>
      <c r="G23" s="41">
        <v>6</v>
      </c>
      <c r="H23" s="180" t="s">
        <v>4</v>
      </c>
      <c r="I23" s="31"/>
      <c r="J23" s="31"/>
      <c r="K23" s="5"/>
      <c r="L23" s="5"/>
      <c r="M23" s="5"/>
      <c r="N23" s="5"/>
      <c r="O23" s="5"/>
      <c r="P23" s="5"/>
      <c r="Q23" s="5"/>
      <c r="R23" s="5"/>
      <c r="S23" s="5"/>
      <c r="T23" s="50"/>
    </row>
    <row r="24" spans="1:20" ht="17.100000000000001" customHeight="1" x14ac:dyDescent="0.25">
      <c r="A24" s="50"/>
      <c r="B24" s="222"/>
      <c r="C24" s="182"/>
      <c r="D24" s="183"/>
      <c r="E24" s="40">
        <v>3</v>
      </c>
      <c r="F24" s="69">
        <v>-1</v>
      </c>
      <c r="G24" s="42">
        <v>7</v>
      </c>
      <c r="H24" s="180"/>
      <c r="I24" s="31"/>
      <c r="J24" s="31"/>
      <c r="K24" s="5"/>
      <c r="L24" s="5"/>
      <c r="M24" s="5"/>
      <c r="N24" s="5"/>
      <c r="O24" s="5"/>
      <c r="P24" s="5"/>
      <c r="Q24" s="5"/>
      <c r="R24" s="5"/>
      <c r="S24" s="5"/>
      <c r="T24" s="50"/>
    </row>
    <row r="25" spans="1:20" ht="17.100000000000001" customHeight="1" thickBot="1" x14ac:dyDescent="0.3">
      <c r="A25" s="50"/>
      <c r="B25" s="35"/>
      <c r="C25" s="23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60"/>
    </row>
    <row r="26" spans="1:20" ht="16.5" thickTop="1" x14ac:dyDescent="0.25">
      <c r="R26" s="5"/>
      <c r="S26" s="5"/>
    </row>
  </sheetData>
  <sheetProtection algorithmName="SHA-512" hashValue="Clt82DzxMQYsj3fYoRGCX2sXaEL167ZWLaP1vsdKW9u34S9jTRMmHM4mIMtIC4Jzg6tGaS7QmAKVc8GseUZ9yQ==" saltValue="qgoslVXOElRnRsk7ctP1Gw==" spinCount="100000" sheet="1" objects="1" scenarios="1"/>
  <mergeCells count="38">
    <mergeCell ref="B2:T2"/>
    <mergeCell ref="K11:P13"/>
    <mergeCell ref="D4:T5"/>
    <mergeCell ref="B8:B9"/>
    <mergeCell ref="C8:C9"/>
    <mergeCell ref="D8:D9"/>
    <mergeCell ref="H8:H9"/>
    <mergeCell ref="I8:J9"/>
    <mergeCell ref="K8:P9"/>
    <mergeCell ref="B11:B13"/>
    <mergeCell ref="C11:C13"/>
    <mergeCell ref="D11:D13"/>
    <mergeCell ref="H11:H13"/>
    <mergeCell ref="I11:J13"/>
    <mergeCell ref="N15:N17"/>
    <mergeCell ref="B19:B21"/>
    <mergeCell ref="C19:C21"/>
    <mergeCell ref="E19:G19"/>
    <mergeCell ref="I19:L19"/>
    <mergeCell ref="N19:R19"/>
    <mergeCell ref="D15:D16"/>
    <mergeCell ref="H15:H16"/>
    <mergeCell ref="B15:B17"/>
    <mergeCell ref="C15:C17"/>
    <mergeCell ref="I15:I17"/>
    <mergeCell ref="J15:J17"/>
    <mergeCell ref="S19:S20"/>
    <mergeCell ref="E20:G20"/>
    <mergeCell ref="I20:L20"/>
    <mergeCell ref="N20:R20"/>
    <mergeCell ref="E21:G21"/>
    <mergeCell ref="I21:L21"/>
    <mergeCell ref="N21:R21"/>
    <mergeCell ref="B23:B24"/>
    <mergeCell ref="C23:C24"/>
    <mergeCell ref="D23:D24"/>
    <mergeCell ref="H23:H24"/>
    <mergeCell ref="D19:D20"/>
  </mergeCells>
  <hyperlinks>
    <hyperlink ref="V2" location="'Main Page'!A1" display="Go to TOC Sheet" xr:uid="{DE7303D6-5597-4C87-BE28-DD1B26581333}"/>
  </hyperlinks>
  <pageMargins left="0.7" right="0.7" top="0.75" bottom="0.75" header="0.3" footer="0.3"/>
  <pageSetup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DDFD1-56FF-47CC-B5BF-9DB0E61B8CC7}">
  <sheetPr codeName="Sheet16"/>
  <dimension ref="A1:R27"/>
  <sheetViews>
    <sheetView zoomScale="115" zoomScaleNormal="115" workbookViewId="0">
      <selection activeCell="R2" sqref="R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8" width="3.7109375" style="45" customWidth="1"/>
    <col min="9" max="10" width="7.7109375" style="45" customWidth="1"/>
    <col min="11" max="11" width="4.5703125" style="45" bestFit="1" customWidth="1"/>
    <col min="12" max="12" width="7.7109375" style="45" customWidth="1"/>
    <col min="13" max="13" width="5.140625" style="45" bestFit="1" customWidth="1"/>
    <col min="14" max="14" width="2.7109375" style="45" customWidth="1"/>
    <col min="15" max="15" width="6.7109375" style="45" customWidth="1"/>
    <col min="16" max="16" width="2.7109375" style="45" customWidth="1"/>
    <col min="17" max="17" width="9.140625" style="45"/>
    <col min="18" max="18" width="19" style="45" customWidth="1"/>
    <col min="19" max="16384" width="9.140625" style="45"/>
  </cols>
  <sheetData>
    <row r="1" spans="1:18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8" ht="17.25" thickTop="1" thickBot="1" x14ac:dyDescent="0.3">
      <c r="B2" s="213" t="s">
        <v>45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5"/>
      <c r="Q2" s="65"/>
      <c r="R2" s="18" t="s">
        <v>52</v>
      </c>
    </row>
    <row r="3" spans="1:18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8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65"/>
    </row>
    <row r="5" spans="1:18" ht="24.95" customHeight="1" thickBot="1" x14ac:dyDescent="0.3">
      <c r="A5" s="5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65"/>
    </row>
    <row r="6" spans="1:18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8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0"/>
    </row>
    <row r="8" spans="1:18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39">
        <v>1</v>
      </c>
      <c r="F8" s="180" t="s">
        <v>4</v>
      </c>
      <c r="G8" s="223"/>
      <c r="H8" s="223"/>
      <c r="I8" s="166" t="str">
        <f>_xlfn.CONCAT("Enter values for Matrix [",C4,"] here")</f>
        <v>Enter values for Matrix [A] here</v>
      </c>
      <c r="J8" s="167"/>
      <c r="K8" s="167"/>
      <c r="L8" s="167"/>
      <c r="M8" s="167"/>
      <c r="N8" s="168"/>
      <c r="O8" s="66"/>
      <c r="P8" s="52"/>
    </row>
    <row r="9" spans="1:18" s="53" customFormat="1" ht="17.100000000000001" customHeight="1" x14ac:dyDescent="0.25">
      <c r="A9" s="52"/>
      <c r="B9" s="181"/>
      <c r="C9" s="182"/>
      <c r="D9" s="183"/>
      <c r="E9" s="39">
        <v>2</v>
      </c>
      <c r="F9" s="180"/>
      <c r="G9" s="223"/>
      <c r="H9" s="223"/>
      <c r="I9" s="217"/>
      <c r="J9" s="218"/>
      <c r="K9" s="218"/>
      <c r="L9" s="218"/>
      <c r="M9" s="218"/>
      <c r="N9" s="219"/>
      <c r="O9" s="66"/>
      <c r="P9" s="52"/>
    </row>
    <row r="10" spans="1:18" s="53" customFormat="1" ht="17.100000000000001" customHeight="1" thickBot="1" x14ac:dyDescent="0.3">
      <c r="A10" s="52"/>
      <c r="B10" s="181"/>
      <c r="C10" s="182"/>
      <c r="D10" s="184"/>
      <c r="E10" s="39">
        <v>3</v>
      </c>
      <c r="F10" s="199"/>
      <c r="G10" s="223"/>
      <c r="H10" s="223"/>
      <c r="I10" s="169"/>
      <c r="J10" s="170"/>
      <c r="K10" s="170"/>
      <c r="L10" s="170"/>
      <c r="M10" s="170"/>
      <c r="N10" s="171"/>
      <c r="O10" s="66"/>
      <c r="P10" s="52"/>
    </row>
    <row r="11" spans="1:18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0"/>
    </row>
    <row r="12" spans="1:18" ht="17.100000000000001" customHeight="1" x14ac:dyDescent="0.25">
      <c r="A12" s="50"/>
      <c r="B12" s="181" t="str">
        <f>_xlfn.CONCAT("Matrix ","[",C5,"]")</f>
        <v>Matrix [B]</v>
      </c>
      <c r="C12" s="182" t="s">
        <v>2</v>
      </c>
      <c r="D12" s="183" t="s">
        <v>3</v>
      </c>
      <c r="E12" s="200">
        <v>1</v>
      </c>
      <c r="F12" s="200">
        <v>2</v>
      </c>
      <c r="G12" s="180" t="s">
        <v>4</v>
      </c>
      <c r="H12" s="226"/>
      <c r="I12" s="226"/>
      <c r="J12" s="166" t="str">
        <f>_xlfn.CONCAT("Enter values for Matrix [",C5,"] here")</f>
        <v>Enter values for Matrix [B] here</v>
      </c>
      <c r="K12" s="167"/>
      <c r="L12" s="167"/>
      <c r="M12" s="167"/>
      <c r="N12" s="167"/>
      <c r="O12" s="168"/>
      <c r="P12" s="50"/>
    </row>
    <row r="13" spans="1:18" ht="17.100000000000001" customHeight="1" thickBot="1" x14ac:dyDescent="0.3">
      <c r="A13" s="50"/>
      <c r="B13" s="181"/>
      <c r="C13" s="182"/>
      <c r="D13" s="183"/>
      <c r="E13" s="200"/>
      <c r="F13" s="200"/>
      <c r="G13" s="180"/>
      <c r="H13" s="226"/>
      <c r="I13" s="226"/>
      <c r="J13" s="169"/>
      <c r="K13" s="170"/>
      <c r="L13" s="170"/>
      <c r="M13" s="170"/>
      <c r="N13" s="170"/>
      <c r="O13" s="171"/>
      <c r="P13" s="50"/>
    </row>
    <row r="14" spans="1:18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0"/>
    </row>
    <row r="15" spans="1:18" ht="17.100000000000001" customHeight="1" x14ac:dyDescent="0.25">
      <c r="A15" s="50"/>
      <c r="B15" s="181" t="str">
        <f>_xlfn.CONCAT("Matrix ","[",C4,"]",_xlfn.UNICHAR(215),"[",C5,"]")</f>
        <v>Matrix [A]×[B]</v>
      </c>
      <c r="C15" s="182" t="s">
        <v>2</v>
      </c>
      <c r="D15" s="183" t="s">
        <v>3</v>
      </c>
      <c r="E15" s="28">
        <f>E8</f>
        <v>1</v>
      </c>
      <c r="F15" s="180" t="s">
        <v>4</v>
      </c>
      <c r="G15" s="187" t="str">
        <f>_xlfn.UNICHAR(215)</f>
        <v>×</v>
      </c>
      <c r="H15" s="27" t="s">
        <v>3</v>
      </c>
      <c r="I15" s="28">
        <f>E12</f>
        <v>1</v>
      </c>
      <c r="J15" s="28">
        <f>F12</f>
        <v>2</v>
      </c>
      <c r="K15" s="27" t="s">
        <v>4</v>
      </c>
      <c r="O15" s="5"/>
      <c r="P15" s="50"/>
    </row>
    <row r="16" spans="1:18" ht="17.100000000000001" customHeight="1" x14ac:dyDescent="0.25">
      <c r="A16" s="50"/>
      <c r="B16" s="181"/>
      <c r="C16" s="182"/>
      <c r="D16" s="183"/>
      <c r="E16" s="28">
        <f>E9</f>
        <v>2</v>
      </c>
      <c r="F16" s="180"/>
      <c r="G16" s="187"/>
      <c r="H16" s="27"/>
      <c r="I16" s="28"/>
      <c r="J16" s="28"/>
      <c r="K16" s="27"/>
      <c r="O16" s="5"/>
      <c r="P16" s="50"/>
    </row>
    <row r="17" spans="1:16" ht="17.100000000000001" customHeight="1" x14ac:dyDescent="0.25">
      <c r="A17" s="50"/>
      <c r="B17" s="181"/>
      <c r="C17" s="182"/>
      <c r="D17" s="184"/>
      <c r="E17" s="28">
        <f>E10</f>
        <v>3</v>
      </c>
      <c r="F17" s="199"/>
      <c r="G17" s="187"/>
      <c r="H17" s="56"/>
      <c r="I17" s="28"/>
      <c r="J17" s="28"/>
      <c r="K17" s="30"/>
      <c r="O17" s="5"/>
      <c r="P17" s="50"/>
    </row>
    <row r="18" spans="1:16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0"/>
    </row>
    <row r="19" spans="1:16" ht="17.100000000000001" customHeight="1" x14ac:dyDescent="0.25">
      <c r="A19" s="50"/>
      <c r="B19" s="181" t="str">
        <f>B15</f>
        <v>Matrix [A]×[B]</v>
      </c>
      <c r="C19" s="182" t="s">
        <v>2</v>
      </c>
      <c r="D19" s="183" t="s">
        <v>3</v>
      </c>
      <c r="E19" s="224" t="str">
        <f>_xlfn.CONCAT("(",E15,_xlfn.UNICHAR(215),I15,")")</f>
        <v>(1×1)</v>
      </c>
      <c r="F19" s="224"/>
      <c r="G19" s="224"/>
      <c r="H19" s="5"/>
      <c r="I19" s="206" t="str">
        <f>_xlfn.CONCAT("(",E15,_xlfn.UNICHAR(215),J15,")")</f>
        <v>(1×2)</v>
      </c>
      <c r="J19" s="206"/>
      <c r="K19" s="206"/>
      <c r="L19" s="206"/>
      <c r="M19" s="208" t="s">
        <v>4</v>
      </c>
      <c r="N19" s="75"/>
      <c r="O19" s="75"/>
      <c r="P19" s="104"/>
    </row>
    <row r="20" spans="1:16" ht="17.100000000000001" customHeight="1" x14ac:dyDescent="0.25">
      <c r="A20" s="50"/>
      <c r="B20" s="181"/>
      <c r="C20" s="182"/>
      <c r="D20" s="183"/>
      <c r="E20" s="225" t="str">
        <f>_xlfn.CONCAT("(",E16,_xlfn.UNICHAR(215),I15,")")</f>
        <v>(2×1)</v>
      </c>
      <c r="F20" s="225"/>
      <c r="G20" s="225"/>
      <c r="H20" s="5"/>
      <c r="I20" s="209" t="str">
        <f>_xlfn.CONCAT("(",E16,_xlfn.UNICHAR(215),J15,")")</f>
        <v>(2×2)</v>
      </c>
      <c r="J20" s="209"/>
      <c r="K20" s="209"/>
      <c r="L20" s="209"/>
      <c r="M20" s="208"/>
      <c r="N20" s="76"/>
      <c r="O20" s="76"/>
      <c r="P20" s="105"/>
    </row>
    <row r="21" spans="1:16" ht="17.100000000000001" customHeight="1" x14ac:dyDescent="0.25">
      <c r="A21" s="50"/>
      <c r="B21" s="181"/>
      <c r="C21" s="182"/>
      <c r="D21" s="184"/>
      <c r="E21" s="227" t="str">
        <f>_xlfn.CONCAT("(",E17,_xlfn.UNICHAR(215),I15,")")</f>
        <v>(3×1)</v>
      </c>
      <c r="F21" s="227"/>
      <c r="G21" s="227"/>
      <c r="H21" s="5"/>
      <c r="I21" s="211" t="str">
        <f>_xlfn.CONCAT("(",E17,_xlfn.UNICHAR(215),J15,")")</f>
        <v>(3×2)</v>
      </c>
      <c r="J21" s="211"/>
      <c r="K21" s="211"/>
      <c r="L21" s="211"/>
      <c r="M21" s="208"/>
      <c r="N21" s="78"/>
      <c r="O21" s="78"/>
      <c r="P21" s="106"/>
    </row>
    <row r="22" spans="1:16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0"/>
    </row>
    <row r="23" spans="1:16" ht="17.100000000000001" customHeight="1" x14ac:dyDescent="0.25">
      <c r="A23" s="50"/>
      <c r="B23" s="222" t="str">
        <f>B15</f>
        <v>Matrix [A]×[B]</v>
      </c>
      <c r="C23" s="182" t="s">
        <v>2</v>
      </c>
      <c r="D23" s="183" t="s">
        <v>3</v>
      </c>
      <c r="E23" s="34">
        <f t="array" ref="E23:F25">MMULT(E15:E17,I15:J15)</f>
        <v>1</v>
      </c>
      <c r="F23" s="44">
        <v>2</v>
      </c>
      <c r="G23" s="180" t="s">
        <v>4</v>
      </c>
      <c r="I23" s="31"/>
      <c r="J23" s="31"/>
      <c r="K23" s="5"/>
      <c r="L23" s="5"/>
      <c r="M23" s="5"/>
      <c r="N23" s="5"/>
      <c r="O23" s="5"/>
      <c r="P23" s="50"/>
    </row>
    <row r="24" spans="1:16" ht="17.100000000000001" customHeight="1" x14ac:dyDescent="0.25">
      <c r="A24" s="50"/>
      <c r="B24" s="222"/>
      <c r="C24" s="182"/>
      <c r="D24" s="183"/>
      <c r="E24" s="40">
        <v>2</v>
      </c>
      <c r="F24" s="69">
        <v>4</v>
      </c>
      <c r="G24" s="180"/>
      <c r="I24" s="31"/>
      <c r="J24" s="31"/>
      <c r="K24" s="5"/>
      <c r="L24" s="5"/>
      <c r="M24" s="5"/>
      <c r="N24" s="5"/>
      <c r="O24" s="5"/>
      <c r="P24" s="50"/>
    </row>
    <row r="25" spans="1:16" ht="17.100000000000001" customHeight="1" x14ac:dyDescent="0.25">
      <c r="A25" s="50"/>
      <c r="B25" s="222"/>
      <c r="C25" s="182"/>
      <c r="D25" s="184"/>
      <c r="E25" s="67">
        <v>3</v>
      </c>
      <c r="F25" s="79">
        <v>6</v>
      </c>
      <c r="G25" s="199"/>
      <c r="I25" s="64"/>
      <c r="J25" s="64"/>
      <c r="K25" s="5"/>
      <c r="L25" s="5"/>
      <c r="M25" s="5"/>
      <c r="N25" s="5"/>
      <c r="O25" s="5"/>
      <c r="P25" s="50"/>
    </row>
    <row r="26" spans="1:16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60"/>
    </row>
    <row r="27" spans="1:16" ht="16.5" thickTop="1" x14ac:dyDescent="0.25"/>
  </sheetData>
  <sheetProtection algorithmName="SHA-512" hashValue="OBrgU2dNt4A3QOZ9mWO5H/dFiyNJkWpzmtiX1OLKYF4adop+lLEr+kfrEtLYkwCqigJ3tLWog2rFWskbYS7cNg==" saltValue="+nEZh5d0zHKLrlpbPvqOdA==" spinCount="100000" sheet="1" objects="1" scenarios="1"/>
  <mergeCells count="35">
    <mergeCell ref="B2:P2"/>
    <mergeCell ref="D12:D13"/>
    <mergeCell ref="G12:G13"/>
    <mergeCell ref="D4:P5"/>
    <mergeCell ref="B8:B10"/>
    <mergeCell ref="C8:C10"/>
    <mergeCell ref="D8:D10"/>
    <mergeCell ref="I8:N10"/>
    <mergeCell ref="H12:I13"/>
    <mergeCell ref="J12:O13"/>
    <mergeCell ref="E12:E13"/>
    <mergeCell ref="F12:F13"/>
    <mergeCell ref="M19:M21"/>
    <mergeCell ref="E20:G20"/>
    <mergeCell ref="I20:L20"/>
    <mergeCell ref="E21:G21"/>
    <mergeCell ref="I21:L21"/>
    <mergeCell ref="E19:G19"/>
    <mergeCell ref="I19:L19"/>
    <mergeCell ref="B23:B25"/>
    <mergeCell ref="C23:C25"/>
    <mergeCell ref="D23:D25"/>
    <mergeCell ref="G23:G25"/>
    <mergeCell ref="F8:F10"/>
    <mergeCell ref="G8:H10"/>
    <mergeCell ref="B19:B21"/>
    <mergeCell ref="C19:C21"/>
    <mergeCell ref="D19:D21"/>
    <mergeCell ref="B15:B17"/>
    <mergeCell ref="C15:C17"/>
    <mergeCell ref="D15:D17"/>
    <mergeCell ref="F15:F17"/>
    <mergeCell ref="G15:G17"/>
    <mergeCell ref="B12:B13"/>
    <mergeCell ref="C12:C13"/>
  </mergeCells>
  <hyperlinks>
    <hyperlink ref="R2" location="'Main Page'!A1" display="Go to TOC Sheet" xr:uid="{7D6751FE-7415-4C6E-8D1A-67D98E2B28D1}"/>
  </hyperlinks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A9B1F-D933-489D-BA78-3F97C8EF4D2C}">
  <sheetPr codeName="Sheet17"/>
  <dimension ref="A1:S27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16"/>
    <col min="2" max="2" width="27.7109375" style="16" customWidth="1"/>
    <col min="3" max="3" width="9.140625" style="16"/>
    <col min="4" max="4" width="4.5703125" style="16" bestFit="1" customWidth="1"/>
    <col min="5" max="7" width="7.7109375" style="16" customWidth="1"/>
    <col min="8" max="8" width="3.7109375" style="16" customWidth="1"/>
    <col min="9" max="13" width="7.7109375" style="16" customWidth="1"/>
    <col min="14" max="14" width="2.7109375" style="16" customWidth="1"/>
    <col min="15" max="15" width="6.7109375" style="16" customWidth="1"/>
    <col min="16" max="16" width="5.140625" style="16" bestFit="1" customWidth="1"/>
    <col min="17" max="17" width="2.7109375" style="16" customWidth="1"/>
    <col min="18" max="18" width="9.140625" style="16"/>
    <col min="19" max="19" width="19" style="16" customWidth="1"/>
    <col min="20" max="16384" width="9.140625" style="16"/>
  </cols>
  <sheetData>
    <row r="1" spans="1:19" ht="16.5" thickBot="1" x14ac:dyDescent="0.3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9" ht="17.25" thickTop="1" thickBot="1" x14ac:dyDescent="0.3">
      <c r="B2" s="140" t="s">
        <v>44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2"/>
      <c r="S2" s="18" t="s">
        <v>52</v>
      </c>
    </row>
    <row r="3" spans="1:19" ht="17.25" thickTop="1" thickBot="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</row>
    <row r="4" spans="1:19" ht="24.95" customHeight="1" thickTop="1" x14ac:dyDescent="0.25">
      <c r="A4" s="2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2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5"/>
    </row>
    <row r="6" spans="1:19" ht="17.25" thickTop="1" thickBot="1" x14ac:dyDescent="0.3">
      <c r="B6" s="23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9" ht="17.100000000000001" customHeight="1" thickTop="1" thickBot="1" x14ac:dyDescent="0.3">
      <c r="A7" s="20"/>
      <c r="B7" s="2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5"/>
    </row>
    <row r="8" spans="1:19" ht="17.100000000000001" customHeight="1" x14ac:dyDescent="0.25">
      <c r="A8" s="20"/>
      <c r="B8" s="181" t="str">
        <f>_xlfn.CONCAT("Matrix ","[",C4,"]")</f>
        <v>Matrix [A]</v>
      </c>
      <c r="C8" s="182" t="s">
        <v>2</v>
      </c>
      <c r="D8" s="183" t="s">
        <v>3</v>
      </c>
      <c r="E8" s="39">
        <v>1</v>
      </c>
      <c r="F8" s="180" t="s">
        <v>4</v>
      </c>
      <c r="G8" s="223"/>
      <c r="H8" s="223"/>
      <c r="I8" s="166" t="str">
        <f>_xlfn.CONCAT("Enter values for Matrix [",C4,"] here")</f>
        <v>Enter values for Matrix [A] here</v>
      </c>
      <c r="J8" s="167"/>
      <c r="K8" s="167"/>
      <c r="L8" s="167"/>
      <c r="M8" s="167"/>
      <c r="N8" s="168"/>
      <c r="Q8" s="20"/>
    </row>
    <row r="9" spans="1:19" ht="17.100000000000001" customHeight="1" x14ac:dyDescent="0.25">
      <c r="A9" s="20"/>
      <c r="B9" s="181"/>
      <c r="C9" s="182"/>
      <c r="D9" s="183"/>
      <c r="E9" s="39">
        <v>2</v>
      </c>
      <c r="F9" s="180"/>
      <c r="G9" s="223"/>
      <c r="H9" s="223"/>
      <c r="I9" s="217"/>
      <c r="J9" s="218"/>
      <c r="K9" s="218"/>
      <c r="L9" s="218"/>
      <c r="M9" s="218"/>
      <c r="N9" s="219"/>
      <c r="Q9" s="20"/>
    </row>
    <row r="10" spans="1:19" ht="17.100000000000001" customHeight="1" thickBot="1" x14ac:dyDescent="0.3">
      <c r="A10" s="20"/>
      <c r="B10" s="181"/>
      <c r="C10" s="182"/>
      <c r="D10" s="184"/>
      <c r="E10" s="39">
        <v>3</v>
      </c>
      <c r="F10" s="199"/>
      <c r="G10" s="223"/>
      <c r="H10" s="223"/>
      <c r="I10" s="169"/>
      <c r="J10" s="170"/>
      <c r="K10" s="170"/>
      <c r="L10" s="170"/>
      <c r="M10" s="170"/>
      <c r="N10" s="171"/>
      <c r="Q10" s="20"/>
    </row>
    <row r="11" spans="1:19" ht="17.100000000000001" customHeight="1" thickBot="1" x14ac:dyDescent="0.3">
      <c r="A11" s="20"/>
      <c r="B11" s="26"/>
      <c r="C11" s="2"/>
      <c r="D11" s="2"/>
      <c r="E11" s="29"/>
      <c r="F11" s="29"/>
      <c r="G11" s="29"/>
      <c r="H11" s="2"/>
      <c r="I11" s="2"/>
      <c r="J11" s="2"/>
      <c r="K11" s="2"/>
      <c r="L11" s="2"/>
      <c r="M11" s="2"/>
      <c r="N11" s="2"/>
      <c r="O11" s="2"/>
      <c r="P11" s="2"/>
      <c r="Q11" s="20"/>
    </row>
    <row r="12" spans="1:19" ht="17.100000000000001" customHeight="1" x14ac:dyDescent="0.25">
      <c r="A12" s="20"/>
      <c r="B12" s="181" t="str">
        <f>_xlfn.CONCAT("Matrix ","[",C5,"]")</f>
        <v>Matrix [B]</v>
      </c>
      <c r="C12" s="182" t="s">
        <v>2</v>
      </c>
      <c r="D12" s="183" t="s">
        <v>3</v>
      </c>
      <c r="E12" s="200">
        <v>1</v>
      </c>
      <c r="F12" s="200">
        <v>2</v>
      </c>
      <c r="G12" s="200">
        <v>3</v>
      </c>
      <c r="H12" s="180" t="s">
        <v>4</v>
      </c>
      <c r="I12" s="203"/>
      <c r="J12" s="203"/>
      <c r="K12" s="166" t="str">
        <f>_xlfn.CONCAT("Enter values for Matrix [",C5,"] here")</f>
        <v>Enter values for Matrix [B] here</v>
      </c>
      <c r="L12" s="167"/>
      <c r="M12" s="167"/>
      <c r="N12" s="167"/>
      <c r="O12" s="167"/>
      <c r="P12" s="168"/>
      <c r="Q12" s="20"/>
    </row>
    <row r="13" spans="1:19" ht="17.100000000000001" customHeight="1" thickBot="1" x14ac:dyDescent="0.3">
      <c r="A13" s="20"/>
      <c r="B13" s="181"/>
      <c r="C13" s="182"/>
      <c r="D13" s="183"/>
      <c r="E13" s="200"/>
      <c r="F13" s="200">
        <v>5</v>
      </c>
      <c r="G13" s="200">
        <v>6</v>
      </c>
      <c r="H13" s="180"/>
      <c r="I13" s="203"/>
      <c r="J13" s="203"/>
      <c r="K13" s="169"/>
      <c r="L13" s="170"/>
      <c r="M13" s="170"/>
      <c r="N13" s="170"/>
      <c r="O13" s="170"/>
      <c r="P13" s="171"/>
      <c r="Q13" s="20"/>
    </row>
    <row r="14" spans="1:19" ht="17.100000000000001" customHeight="1" x14ac:dyDescent="0.25">
      <c r="A14" s="20"/>
      <c r="B14" s="26"/>
      <c r="C14" s="2"/>
      <c r="D14" s="2"/>
      <c r="E14" s="29"/>
      <c r="F14" s="29"/>
      <c r="G14" s="29"/>
      <c r="H14" s="2"/>
      <c r="I14" s="2"/>
      <c r="J14" s="2"/>
      <c r="K14" s="2"/>
      <c r="L14" s="2"/>
      <c r="M14" s="2"/>
      <c r="N14" s="2"/>
      <c r="O14" s="2"/>
      <c r="P14" s="2"/>
      <c r="Q14" s="20"/>
    </row>
    <row r="15" spans="1:19" ht="17.100000000000001" customHeight="1" x14ac:dyDescent="0.25">
      <c r="A15" s="20"/>
      <c r="B15" s="181" t="str">
        <f>_xlfn.CONCAT("Matrix ","[",C4,"]",_xlfn.UNICHAR(215),"[",C5,"]")</f>
        <v>Matrix [A]×[B]</v>
      </c>
      <c r="C15" s="182" t="s">
        <v>2</v>
      </c>
      <c r="D15" s="183" t="s">
        <v>3</v>
      </c>
      <c r="E15" s="28">
        <f>E8</f>
        <v>1</v>
      </c>
      <c r="F15" s="180" t="s">
        <v>4</v>
      </c>
      <c r="G15" s="187" t="str">
        <f>_xlfn.UNICHAR(215)</f>
        <v>×</v>
      </c>
      <c r="H15" s="27" t="s">
        <v>3</v>
      </c>
      <c r="I15" s="28">
        <f>E12</f>
        <v>1</v>
      </c>
      <c r="J15" s="28">
        <f>F12</f>
        <v>2</v>
      </c>
      <c r="K15" s="28">
        <f>G12</f>
        <v>3</v>
      </c>
      <c r="L15" s="27" t="s">
        <v>4</v>
      </c>
      <c r="O15" s="2"/>
      <c r="P15" s="2"/>
      <c r="Q15" s="20"/>
    </row>
    <row r="16" spans="1:19" ht="17.100000000000001" customHeight="1" x14ac:dyDescent="0.25">
      <c r="A16" s="20"/>
      <c r="B16" s="181"/>
      <c r="C16" s="182"/>
      <c r="D16" s="183"/>
      <c r="E16" s="28">
        <f>E9</f>
        <v>2</v>
      </c>
      <c r="F16" s="180"/>
      <c r="G16" s="187"/>
      <c r="H16" s="30"/>
      <c r="I16" s="28"/>
      <c r="J16" s="28"/>
      <c r="K16" s="28"/>
      <c r="L16" s="31"/>
      <c r="O16" s="2"/>
      <c r="P16" s="2"/>
      <c r="Q16" s="20"/>
    </row>
    <row r="17" spans="1:17" ht="17.100000000000001" customHeight="1" x14ac:dyDescent="0.25">
      <c r="A17" s="20"/>
      <c r="B17" s="181"/>
      <c r="C17" s="182"/>
      <c r="D17" s="184"/>
      <c r="E17" s="28">
        <f>E10</f>
        <v>3</v>
      </c>
      <c r="F17" s="199"/>
      <c r="G17" s="187"/>
      <c r="H17" s="30"/>
      <c r="I17" s="28"/>
      <c r="J17" s="28"/>
      <c r="K17" s="28"/>
      <c r="L17" s="31"/>
      <c r="O17" s="2"/>
      <c r="P17" s="2"/>
      <c r="Q17" s="20"/>
    </row>
    <row r="18" spans="1:17" ht="17.100000000000001" customHeight="1" x14ac:dyDescent="0.25">
      <c r="A18" s="20"/>
      <c r="B18" s="26"/>
      <c r="C18" s="2"/>
      <c r="D18" s="2"/>
      <c r="E18" s="29"/>
      <c r="F18" s="29"/>
      <c r="G18" s="29"/>
      <c r="H18" s="2"/>
      <c r="I18" s="2"/>
      <c r="J18" s="2"/>
      <c r="K18" s="2"/>
      <c r="L18" s="2"/>
      <c r="M18" s="2"/>
      <c r="N18" s="2"/>
      <c r="O18" s="2"/>
      <c r="P18" s="2"/>
      <c r="Q18" s="20"/>
    </row>
    <row r="19" spans="1:17" ht="17.100000000000001" customHeight="1" x14ac:dyDescent="0.25">
      <c r="A19" s="20"/>
      <c r="B19" s="181" t="str">
        <f>B15</f>
        <v>Matrix [A]×[B]</v>
      </c>
      <c r="C19" s="182" t="s">
        <v>2</v>
      </c>
      <c r="D19" s="183" t="s">
        <v>3</v>
      </c>
      <c r="E19" s="34" t="str">
        <f>_xlfn.CONCAT("(",E15,_xlfn.UNICHAR(215),I15,")")</f>
        <v>(1×1)</v>
      </c>
      <c r="F19" s="44" t="str">
        <f>_xlfn.CONCAT("(",E15,_xlfn.UNICHAR(215),J15,")")</f>
        <v>(1×2)</v>
      </c>
      <c r="G19" s="41" t="str">
        <f>_xlfn.CONCAT("(",E15,_xlfn.UNICHAR(215),K15,")")</f>
        <v>(1×3)</v>
      </c>
      <c r="H19" s="180" t="s">
        <v>4</v>
      </c>
      <c r="J19" s="44"/>
      <c r="K19" s="44"/>
      <c r="L19" s="44"/>
      <c r="M19" s="31"/>
      <c r="O19" s="41"/>
      <c r="P19" s="41"/>
      <c r="Q19" s="20"/>
    </row>
    <row r="20" spans="1:17" ht="17.100000000000001" customHeight="1" x14ac:dyDescent="0.25">
      <c r="A20" s="20"/>
      <c r="B20" s="181"/>
      <c r="C20" s="182"/>
      <c r="D20" s="183"/>
      <c r="E20" s="40" t="str">
        <f>_xlfn.CONCAT("(",E16,_xlfn.UNICHAR(215),I15,")")</f>
        <v>(2×1)</v>
      </c>
      <c r="F20" s="69" t="str">
        <f>_xlfn.CONCAT("(",E16,_xlfn.UNICHAR(215),J15,")")</f>
        <v>(2×2)</v>
      </c>
      <c r="G20" s="42" t="str">
        <f>_xlfn.CONCAT("(",E16,_xlfn.UNICHAR(215),K15,")")</f>
        <v>(2×3)</v>
      </c>
      <c r="H20" s="180"/>
      <c r="J20" s="69"/>
      <c r="K20" s="69"/>
      <c r="L20" s="69"/>
      <c r="M20" s="31"/>
      <c r="O20" s="42"/>
      <c r="P20" s="42"/>
      <c r="Q20" s="20"/>
    </row>
    <row r="21" spans="1:17" ht="17.100000000000001" customHeight="1" x14ac:dyDescent="0.25">
      <c r="A21" s="20"/>
      <c r="B21" s="181"/>
      <c r="C21" s="182"/>
      <c r="D21" s="184"/>
      <c r="E21" s="67" t="str">
        <f>_xlfn.CONCAT("(",E17,_xlfn.UNICHAR(215),I15,")")</f>
        <v>(3×1)</v>
      </c>
      <c r="F21" s="79" t="str">
        <f>_xlfn.CONCAT("(",E17,_xlfn.UNICHAR(215),J15,")")</f>
        <v>(3×2)</v>
      </c>
      <c r="G21" s="43" t="str">
        <f>_xlfn.CONCAT("(",E17,_xlfn.UNICHAR(215),K15,")")</f>
        <v>(3×3)</v>
      </c>
      <c r="H21" s="180"/>
      <c r="J21" s="79"/>
      <c r="K21" s="79"/>
      <c r="L21" s="79"/>
      <c r="M21" s="31"/>
      <c r="O21" s="43"/>
      <c r="P21" s="43"/>
      <c r="Q21" s="20"/>
    </row>
    <row r="22" spans="1:17" ht="17.100000000000001" customHeight="1" x14ac:dyDescent="0.25">
      <c r="A22" s="20"/>
      <c r="B22" s="26"/>
      <c r="C22" s="2"/>
      <c r="D22" s="2"/>
      <c r="E22" s="29"/>
      <c r="F22" s="29"/>
      <c r="G22" s="29"/>
      <c r="H22" s="2"/>
      <c r="I22" s="2"/>
      <c r="J22" s="2"/>
      <c r="K22" s="2"/>
      <c r="L22" s="2"/>
      <c r="M22" s="2"/>
      <c r="N22" s="2"/>
      <c r="O22" s="2"/>
      <c r="P22" s="2"/>
      <c r="Q22" s="20"/>
    </row>
    <row r="23" spans="1:17" ht="17.100000000000001" customHeight="1" x14ac:dyDescent="0.25">
      <c r="A23" s="20"/>
      <c r="B23" s="222" t="str">
        <f>B15</f>
        <v>Matrix [A]×[B]</v>
      </c>
      <c r="C23" s="182" t="s">
        <v>2</v>
      </c>
      <c r="D23" s="183" t="s">
        <v>3</v>
      </c>
      <c r="E23" s="34">
        <f t="array" ref="E23:G25">MMULT(E15:E17,I15:K15)</f>
        <v>1</v>
      </c>
      <c r="F23" s="44">
        <v>2</v>
      </c>
      <c r="G23" s="41">
        <v>3</v>
      </c>
      <c r="H23" s="180" t="s">
        <v>4</v>
      </c>
      <c r="I23" s="31"/>
      <c r="J23" s="31"/>
      <c r="K23" s="2"/>
      <c r="L23" s="2"/>
      <c r="M23" s="2"/>
      <c r="N23" s="2"/>
      <c r="O23" s="2"/>
      <c r="P23" s="2"/>
      <c r="Q23" s="20"/>
    </row>
    <row r="24" spans="1:17" ht="17.100000000000001" customHeight="1" x14ac:dyDescent="0.25">
      <c r="A24" s="20"/>
      <c r="B24" s="222"/>
      <c r="C24" s="182"/>
      <c r="D24" s="183"/>
      <c r="E24" s="40">
        <v>2</v>
      </c>
      <c r="F24" s="69">
        <v>4</v>
      </c>
      <c r="G24" s="42">
        <v>6</v>
      </c>
      <c r="H24" s="180"/>
      <c r="I24" s="31"/>
      <c r="J24" s="31"/>
      <c r="K24" s="2"/>
      <c r="L24" s="2"/>
      <c r="M24" s="2"/>
      <c r="N24" s="2"/>
      <c r="O24" s="2"/>
      <c r="P24" s="2"/>
      <c r="Q24" s="20"/>
    </row>
    <row r="25" spans="1:17" ht="17.100000000000001" customHeight="1" x14ac:dyDescent="0.25">
      <c r="A25" s="20"/>
      <c r="B25" s="222"/>
      <c r="C25" s="182"/>
      <c r="D25" s="184"/>
      <c r="E25" s="67">
        <v>3</v>
      </c>
      <c r="F25" s="79">
        <v>6</v>
      </c>
      <c r="G25" s="43">
        <v>9</v>
      </c>
      <c r="H25" s="199"/>
      <c r="I25" s="64"/>
      <c r="J25" s="64"/>
      <c r="K25" s="2"/>
      <c r="L25" s="2"/>
      <c r="M25" s="2"/>
      <c r="N25" s="2"/>
      <c r="O25" s="2"/>
      <c r="P25" s="2"/>
      <c r="Q25" s="20"/>
    </row>
    <row r="26" spans="1:17" ht="17.100000000000001" customHeight="1" thickBot="1" x14ac:dyDescent="0.3">
      <c r="A26" s="20"/>
      <c r="B26" s="35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36"/>
    </row>
    <row r="27" spans="1:17" ht="16.5" thickTop="1" x14ac:dyDescent="0.25"/>
  </sheetData>
  <sheetProtection algorithmName="SHA-512" hashValue="4QB2AF430SiAozi0lR/dSz3GFsY3W3HjYZfZ3+ccTtVEdxKmolOLb/IxSdJlp4G4f/2A7QlnIhyX08BIk62YHA==" saltValue="y94CYFbmDew6gnp1vfq5xg==" spinCount="100000" sheet="1" objects="1" scenarios="1"/>
  <mergeCells count="30">
    <mergeCell ref="G15:G17"/>
    <mergeCell ref="H12:H13"/>
    <mergeCell ref="I12:J13"/>
    <mergeCell ref="B2:Q2"/>
    <mergeCell ref="I8:N10"/>
    <mergeCell ref="E12:E13"/>
    <mergeCell ref="F12:F13"/>
    <mergeCell ref="G12:G13"/>
    <mergeCell ref="K12:P13"/>
    <mergeCell ref="D4:Q5"/>
    <mergeCell ref="B8:B10"/>
    <mergeCell ref="C8:C10"/>
    <mergeCell ref="D8:D10"/>
    <mergeCell ref="F8:F10"/>
    <mergeCell ref="B23:B25"/>
    <mergeCell ref="C23:C25"/>
    <mergeCell ref="D23:D25"/>
    <mergeCell ref="H23:H25"/>
    <mergeCell ref="G8:H10"/>
    <mergeCell ref="B19:B21"/>
    <mergeCell ref="C19:C21"/>
    <mergeCell ref="D19:D21"/>
    <mergeCell ref="B15:B17"/>
    <mergeCell ref="C15:C17"/>
    <mergeCell ref="D15:D17"/>
    <mergeCell ref="B12:B13"/>
    <mergeCell ref="C12:C13"/>
    <mergeCell ref="D12:D13"/>
    <mergeCell ref="H19:H21"/>
    <mergeCell ref="F15:F17"/>
  </mergeCells>
  <hyperlinks>
    <hyperlink ref="S2" location="'Main Page'!A1" display="Go to TOC Sheet" xr:uid="{087423C6-0583-4495-AFE6-14500E14AC17}"/>
  </hyperlinks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B64E-1D6B-4391-9CE6-FD60BDCC2266}">
  <sheetPr codeName="Sheet18"/>
  <dimension ref="A1:R27"/>
  <sheetViews>
    <sheetView zoomScale="115" zoomScaleNormal="115" workbookViewId="0">
      <selection activeCell="R2" sqref="R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1" width="4.5703125" style="45" bestFit="1" customWidth="1"/>
    <col min="12" max="13" width="7.7109375" style="45" customWidth="1"/>
    <col min="14" max="14" width="2.7109375" style="45" customWidth="1"/>
    <col min="15" max="15" width="6.7109375" style="45" customWidth="1"/>
    <col min="16" max="16" width="2.7109375" style="45" customWidth="1"/>
    <col min="17" max="17" width="9.140625" style="45"/>
    <col min="18" max="18" width="19" style="45" customWidth="1"/>
    <col min="19" max="16384" width="9.140625" style="45"/>
  </cols>
  <sheetData>
    <row r="1" spans="1:18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8" ht="17.25" thickTop="1" thickBot="1" x14ac:dyDescent="0.3">
      <c r="B2" s="213" t="s">
        <v>46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5"/>
      <c r="R2" s="18" t="s">
        <v>52</v>
      </c>
    </row>
    <row r="3" spans="1:18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8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4"/>
    </row>
    <row r="5" spans="1:18" ht="24.95" customHeight="1" thickBot="1" x14ac:dyDescent="0.3">
      <c r="A5" s="5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205"/>
    </row>
    <row r="6" spans="1:18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8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1"/>
    </row>
    <row r="8" spans="1:18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39">
        <v>1</v>
      </c>
      <c r="F8" s="39">
        <v>2</v>
      </c>
      <c r="G8" s="180" t="s">
        <v>4</v>
      </c>
      <c r="H8" s="180"/>
      <c r="I8" s="180"/>
      <c r="J8" s="166" t="str">
        <f>_xlfn.CONCAT("Enter values for Matrix [",C4,"] here")</f>
        <v>Enter values for Matrix [A] here</v>
      </c>
      <c r="K8" s="167"/>
      <c r="L8" s="167"/>
      <c r="M8" s="167"/>
      <c r="N8" s="167"/>
      <c r="O8" s="168"/>
      <c r="P8" s="52"/>
    </row>
    <row r="9" spans="1:18" s="53" customFormat="1" ht="17.100000000000001" customHeight="1" x14ac:dyDescent="0.25">
      <c r="A9" s="52"/>
      <c r="B9" s="181"/>
      <c r="C9" s="182"/>
      <c r="D9" s="183"/>
      <c r="E9" s="39">
        <v>3</v>
      </c>
      <c r="F9" s="39">
        <v>4</v>
      </c>
      <c r="G9" s="180"/>
      <c r="H9" s="180"/>
      <c r="I9" s="180"/>
      <c r="J9" s="217"/>
      <c r="K9" s="218"/>
      <c r="L9" s="218"/>
      <c r="M9" s="218"/>
      <c r="N9" s="218"/>
      <c r="O9" s="219"/>
      <c r="P9" s="52"/>
    </row>
    <row r="10" spans="1:18" s="53" customFormat="1" ht="17.100000000000001" customHeight="1" thickBot="1" x14ac:dyDescent="0.3">
      <c r="A10" s="52"/>
      <c r="B10" s="181"/>
      <c r="C10" s="182"/>
      <c r="D10" s="184"/>
      <c r="E10" s="39">
        <v>5</v>
      </c>
      <c r="F10" s="39">
        <v>6</v>
      </c>
      <c r="G10" s="199"/>
      <c r="H10" s="180"/>
      <c r="I10" s="180"/>
      <c r="J10" s="169"/>
      <c r="K10" s="170"/>
      <c r="L10" s="170"/>
      <c r="M10" s="170"/>
      <c r="N10" s="170"/>
      <c r="O10" s="171"/>
      <c r="P10" s="52"/>
    </row>
    <row r="11" spans="1:18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0"/>
    </row>
    <row r="12" spans="1:18" ht="17.100000000000001" customHeight="1" x14ac:dyDescent="0.25">
      <c r="A12" s="50"/>
      <c r="B12" s="181" t="str">
        <f>_xlfn.CONCAT("Matrix ","[",C5,"]")</f>
        <v>Matrix [B]</v>
      </c>
      <c r="C12" s="182" t="s">
        <v>2</v>
      </c>
      <c r="D12" s="183" t="s">
        <v>3</v>
      </c>
      <c r="E12" s="39">
        <v>1</v>
      </c>
      <c r="F12" s="180" t="s">
        <v>4</v>
      </c>
      <c r="G12" s="223"/>
      <c r="H12" s="166" t="str">
        <f>_xlfn.CONCAT("Enter values for Matrix [",C5,"] here")</f>
        <v>Enter values for Matrix [B] here</v>
      </c>
      <c r="I12" s="167"/>
      <c r="J12" s="167"/>
      <c r="K12" s="167"/>
      <c r="L12" s="167"/>
      <c r="M12" s="168"/>
      <c r="P12" s="50"/>
    </row>
    <row r="13" spans="1:18" ht="17.100000000000001" customHeight="1" thickBot="1" x14ac:dyDescent="0.3">
      <c r="A13" s="50"/>
      <c r="B13" s="181"/>
      <c r="C13" s="182"/>
      <c r="D13" s="183"/>
      <c r="E13" s="39">
        <v>2</v>
      </c>
      <c r="F13" s="180"/>
      <c r="G13" s="223"/>
      <c r="H13" s="169"/>
      <c r="I13" s="170"/>
      <c r="J13" s="170"/>
      <c r="K13" s="170"/>
      <c r="L13" s="170"/>
      <c r="M13" s="171"/>
      <c r="P13" s="50"/>
    </row>
    <row r="14" spans="1:18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0"/>
    </row>
    <row r="15" spans="1:18" ht="17.100000000000001" customHeight="1" x14ac:dyDescent="0.25">
      <c r="A15" s="50"/>
      <c r="B15" s="181" t="str">
        <f>_xlfn.CONCAT("Matrix ","[",C4,"]",_xlfn.UNICHAR(215),"[",C5,"]")</f>
        <v>Matrix [A]×[B]</v>
      </c>
      <c r="C15" s="182" t="s">
        <v>2</v>
      </c>
      <c r="D15" s="183" t="s">
        <v>3</v>
      </c>
      <c r="E15" s="28">
        <f t="shared" ref="E15:F17" si="0">E8</f>
        <v>1</v>
      </c>
      <c r="F15" s="28">
        <f t="shared" si="0"/>
        <v>2</v>
      </c>
      <c r="G15" s="180" t="s">
        <v>4</v>
      </c>
      <c r="H15" s="187" t="str">
        <f>_xlfn.UNICHAR(215)</f>
        <v>×</v>
      </c>
      <c r="I15" s="183" t="s">
        <v>3</v>
      </c>
      <c r="J15" s="28">
        <f>E12</f>
        <v>1</v>
      </c>
      <c r="K15" s="183" t="s">
        <v>4</v>
      </c>
      <c r="L15" s="28"/>
      <c r="M15" s="28"/>
      <c r="O15" s="5"/>
      <c r="P15" s="50"/>
    </row>
    <row r="16" spans="1:18" ht="17.100000000000001" customHeight="1" x14ac:dyDescent="0.25">
      <c r="A16" s="50"/>
      <c r="B16" s="181"/>
      <c r="C16" s="182"/>
      <c r="D16" s="183"/>
      <c r="E16" s="28">
        <f t="shared" si="0"/>
        <v>3</v>
      </c>
      <c r="F16" s="28">
        <f t="shared" si="0"/>
        <v>4</v>
      </c>
      <c r="G16" s="180"/>
      <c r="H16" s="187"/>
      <c r="I16" s="183"/>
      <c r="J16" s="28">
        <f>E13</f>
        <v>2</v>
      </c>
      <c r="K16" s="183"/>
      <c r="L16" s="28"/>
      <c r="M16" s="28"/>
      <c r="O16" s="5"/>
      <c r="P16" s="50"/>
    </row>
    <row r="17" spans="1:16" ht="17.100000000000001" customHeight="1" x14ac:dyDescent="0.25">
      <c r="A17" s="50"/>
      <c r="B17" s="181"/>
      <c r="C17" s="182"/>
      <c r="D17" s="184"/>
      <c r="E17" s="28">
        <f t="shared" si="0"/>
        <v>5</v>
      </c>
      <c r="F17" s="28">
        <f t="shared" si="0"/>
        <v>6</v>
      </c>
      <c r="G17" s="199"/>
      <c r="H17" s="187"/>
      <c r="I17" s="56"/>
      <c r="J17" s="28"/>
      <c r="K17" s="30"/>
      <c r="L17" s="28"/>
      <c r="M17" s="28"/>
      <c r="O17" s="5"/>
      <c r="P17" s="50"/>
    </row>
    <row r="18" spans="1:16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0"/>
    </row>
    <row r="19" spans="1:16" ht="17.100000000000001" customHeight="1" x14ac:dyDescent="0.25">
      <c r="A19" s="50"/>
      <c r="B19" s="181" t="str">
        <f>B15</f>
        <v>Matrix [A]×[B]</v>
      </c>
      <c r="C19" s="182" t="s">
        <v>2</v>
      </c>
      <c r="D19" s="183" t="s">
        <v>3</v>
      </c>
      <c r="E19" s="224" t="str">
        <f>_xlfn.CONCAT("(",E15,_xlfn.UNICHAR(215),J15,") + (",F15,_xlfn.UNICHAR(215),J16,")")</f>
        <v>(1×1) + (2×2)</v>
      </c>
      <c r="F19" s="224"/>
      <c r="G19" s="224"/>
      <c r="H19" s="208" t="s">
        <v>4</v>
      </c>
      <c r="I19" s="72"/>
      <c r="J19" s="72"/>
      <c r="K19" s="72"/>
      <c r="L19" s="72"/>
      <c r="M19" s="57"/>
      <c r="N19" s="75"/>
      <c r="O19" s="75"/>
      <c r="P19" s="50"/>
    </row>
    <row r="20" spans="1:16" ht="17.100000000000001" customHeight="1" x14ac:dyDescent="0.25">
      <c r="A20" s="50"/>
      <c r="B20" s="181"/>
      <c r="C20" s="182"/>
      <c r="D20" s="183"/>
      <c r="E20" s="225" t="str">
        <f>_xlfn.CONCAT("(",E16,_xlfn.UNICHAR(215),J15,") + (",F16,_xlfn.UNICHAR(215),J16,")")</f>
        <v>(3×1) + (4×2)</v>
      </c>
      <c r="F20" s="225"/>
      <c r="G20" s="225"/>
      <c r="H20" s="208"/>
      <c r="I20" s="74"/>
      <c r="J20" s="74"/>
      <c r="K20" s="74"/>
      <c r="L20" s="74"/>
      <c r="M20" s="57"/>
      <c r="N20" s="76"/>
      <c r="O20" s="76"/>
      <c r="P20" s="50"/>
    </row>
    <row r="21" spans="1:16" ht="17.100000000000001" customHeight="1" x14ac:dyDescent="0.25">
      <c r="A21" s="50"/>
      <c r="B21" s="181"/>
      <c r="C21" s="182"/>
      <c r="D21" s="184"/>
      <c r="E21" s="227" t="str">
        <f>_xlfn.CONCAT("(",E17,_xlfn.UNICHAR(215),J15,") + (",F17,_xlfn.UNICHAR(215),J16,")")</f>
        <v>(5×1) + (6×2)</v>
      </c>
      <c r="F21" s="227"/>
      <c r="G21" s="227"/>
      <c r="H21" s="208"/>
      <c r="I21" s="77"/>
      <c r="J21" s="77"/>
      <c r="K21" s="77"/>
      <c r="L21" s="77"/>
      <c r="M21" s="57"/>
      <c r="N21" s="78"/>
      <c r="O21" s="78"/>
      <c r="P21" s="50"/>
    </row>
    <row r="22" spans="1:16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0"/>
    </row>
    <row r="23" spans="1:16" ht="17.100000000000001" customHeight="1" x14ac:dyDescent="0.25">
      <c r="A23" s="50"/>
      <c r="B23" s="222" t="str">
        <f>B15</f>
        <v>Matrix [A]×[B]</v>
      </c>
      <c r="C23" s="182" t="s">
        <v>2</v>
      </c>
      <c r="D23" s="183" t="s">
        <v>3</v>
      </c>
      <c r="E23" s="34">
        <f t="array" ref="E23:E25">MMULT(E15:F17,J15:J16)</f>
        <v>5</v>
      </c>
      <c r="F23" s="180" t="s">
        <v>4</v>
      </c>
      <c r="G23" s="41"/>
      <c r="I23" s="31"/>
      <c r="J23" s="31"/>
      <c r="K23" s="5"/>
      <c r="L23" s="5"/>
      <c r="M23" s="5"/>
      <c r="N23" s="5"/>
      <c r="O23" s="5"/>
      <c r="P23" s="50"/>
    </row>
    <row r="24" spans="1:16" ht="17.100000000000001" customHeight="1" x14ac:dyDescent="0.25">
      <c r="A24" s="50"/>
      <c r="B24" s="222"/>
      <c r="C24" s="182"/>
      <c r="D24" s="183"/>
      <c r="E24" s="40">
        <v>11</v>
      </c>
      <c r="F24" s="180"/>
      <c r="G24" s="42"/>
      <c r="I24" s="31"/>
      <c r="J24" s="31"/>
      <c r="K24" s="5"/>
      <c r="L24" s="5"/>
      <c r="M24" s="5"/>
      <c r="N24" s="5"/>
      <c r="O24" s="5"/>
      <c r="P24" s="50"/>
    </row>
    <row r="25" spans="1:16" ht="17.100000000000001" customHeight="1" x14ac:dyDescent="0.25">
      <c r="A25" s="50"/>
      <c r="B25" s="222"/>
      <c r="C25" s="182"/>
      <c r="D25" s="184"/>
      <c r="E25" s="67">
        <v>17</v>
      </c>
      <c r="F25" s="199"/>
      <c r="G25" s="43"/>
      <c r="I25" s="64"/>
      <c r="J25" s="64"/>
      <c r="K25" s="5"/>
      <c r="L25" s="5"/>
      <c r="M25" s="5"/>
      <c r="N25" s="5"/>
      <c r="O25" s="5"/>
      <c r="P25" s="50"/>
    </row>
    <row r="26" spans="1:16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60"/>
    </row>
    <row r="27" spans="1:16" ht="16.5" thickTop="1" x14ac:dyDescent="0.25"/>
  </sheetData>
  <sheetProtection algorithmName="SHA-512" hashValue="2YesV/eYGycCiW0MPeGh6tiTIG6ytsCTroj21oL0k+ERWcQegBDdtH/zEl4EyUJGcRKeoRa7Gz5KpYsg7OKs9Q==" saltValue="2Cr4DvOeHIlAJW6JiS++ig==" spinCount="100000" sheet="1" objects="1" scenarios="1"/>
  <mergeCells count="32">
    <mergeCell ref="D4:P5"/>
    <mergeCell ref="B8:B10"/>
    <mergeCell ref="C8:C10"/>
    <mergeCell ref="D8:D10"/>
    <mergeCell ref="B2:P2"/>
    <mergeCell ref="J8:O10"/>
    <mergeCell ref="H19:H21"/>
    <mergeCell ref="E20:G20"/>
    <mergeCell ref="E21:G21"/>
    <mergeCell ref="B19:B21"/>
    <mergeCell ref="C19:C21"/>
    <mergeCell ref="D19:D21"/>
    <mergeCell ref="E19:G19"/>
    <mergeCell ref="B23:B25"/>
    <mergeCell ref="C23:C25"/>
    <mergeCell ref="D23:D25"/>
    <mergeCell ref="F23:F25"/>
    <mergeCell ref="G8:G10"/>
    <mergeCell ref="B15:B17"/>
    <mergeCell ref="C15:C17"/>
    <mergeCell ref="D15:D17"/>
    <mergeCell ref="G15:G17"/>
    <mergeCell ref="B12:B13"/>
    <mergeCell ref="C12:C13"/>
    <mergeCell ref="D12:D13"/>
    <mergeCell ref="F12:F13"/>
    <mergeCell ref="G12:G13"/>
    <mergeCell ref="H12:M13"/>
    <mergeCell ref="I15:I16"/>
    <mergeCell ref="K15:K16"/>
    <mergeCell ref="H8:I10"/>
    <mergeCell ref="H15:H17"/>
  </mergeCells>
  <hyperlinks>
    <hyperlink ref="R2" location="'Main Page'!A1" display="Go to TOC Sheet" xr:uid="{26892EC2-B61B-4ADE-9947-B56A450649D3}"/>
  </hyperlinks>
  <pageMargins left="0.7" right="0.7" top="0.75" bottom="0.75" header="0.3" footer="0.3"/>
  <pageSetup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B0D0C-8092-4A93-9CEA-5E37846E1E30}">
  <sheetPr codeName="Sheet19"/>
  <dimension ref="A1:R27"/>
  <sheetViews>
    <sheetView zoomScale="115" zoomScaleNormal="115" workbookViewId="0">
      <selection activeCell="R2" sqref="R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6" width="7.7109375" style="45" customWidth="1"/>
    <col min="7" max="7" width="5.140625" style="45" bestFit="1" customWidth="1"/>
    <col min="8" max="9" width="3.7109375" style="45" customWidth="1"/>
    <col min="10" max="11" width="7.7109375" style="45" customWidth="1"/>
    <col min="12" max="13" width="5.140625" style="45" bestFit="1" customWidth="1"/>
    <col min="14" max="14" width="2.7109375" style="45" customWidth="1"/>
    <col min="15" max="15" width="6.7109375" style="45" customWidth="1"/>
    <col min="16" max="16" width="2.7109375" style="45" customWidth="1"/>
    <col min="17" max="17" width="9.140625" style="45"/>
    <col min="18" max="18" width="19" style="45" customWidth="1"/>
    <col min="19" max="16384" width="9.140625" style="45"/>
  </cols>
  <sheetData>
    <row r="1" spans="1:18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1:18" ht="17.25" thickTop="1" thickBot="1" x14ac:dyDescent="0.3">
      <c r="B2" s="213" t="s">
        <v>47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5"/>
      <c r="R2" s="18" t="s">
        <v>52</v>
      </c>
    </row>
    <row r="3" spans="1:18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8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74"/>
    </row>
    <row r="5" spans="1:18" ht="24.95" customHeight="1" thickBot="1" x14ac:dyDescent="0.3">
      <c r="A5" s="5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205"/>
    </row>
    <row r="6" spans="1:18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8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1"/>
    </row>
    <row r="8" spans="1:18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39">
        <v>1</v>
      </c>
      <c r="F8" s="39">
        <v>2</v>
      </c>
      <c r="G8" s="180" t="s">
        <v>4</v>
      </c>
      <c r="H8" s="180"/>
      <c r="I8" s="180"/>
      <c r="J8" s="188" t="str">
        <f>_xlfn.CONCAT("Enter values for Matrix [",C4,"] here")</f>
        <v>Enter values for Matrix [A] here</v>
      </c>
      <c r="K8" s="189"/>
      <c r="L8" s="189"/>
      <c r="M8" s="189"/>
      <c r="N8" s="189"/>
      <c r="O8" s="190"/>
      <c r="P8" s="52"/>
    </row>
    <row r="9" spans="1:18" s="53" customFormat="1" ht="17.100000000000001" customHeight="1" x14ac:dyDescent="0.25">
      <c r="A9" s="52"/>
      <c r="B9" s="181"/>
      <c r="C9" s="182"/>
      <c r="D9" s="183"/>
      <c r="E9" s="39">
        <v>3</v>
      </c>
      <c r="F9" s="39">
        <v>4</v>
      </c>
      <c r="G9" s="180"/>
      <c r="H9" s="180"/>
      <c r="I9" s="180"/>
      <c r="J9" s="228"/>
      <c r="K9" s="229"/>
      <c r="L9" s="229"/>
      <c r="M9" s="229"/>
      <c r="N9" s="229"/>
      <c r="O9" s="230"/>
      <c r="P9" s="52"/>
    </row>
    <row r="10" spans="1:18" s="53" customFormat="1" ht="17.100000000000001" customHeight="1" thickBot="1" x14ac:dyDescent="0.3">
      <c r="A10" s="52"/>
      <c r="B10" s="181"/>
      <c r="C10" s="182"/>
      <c r="D10" s="184"/>
      <c r="E10" s="39">
        <v>5</v>
      </c>
      <c r="F10" s="39">
        <v>6</v>
      </c>
      <c r="G10" s="199"/>
      <c r="H10" s="180"/>
      <c r="I10" s="180"/>
      <c r="J10" s="191"/>
      <c r="K10" s="192"/>
      <c r="L10" s="192"/>
      <c r="M10" s="192"/>
      <c r="N10" s="192"/>
      <c r="O10" s="193"/>
      <c r="P10" s="52"/>
    </row>
    <row r="11" spans="1:18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0"/>
    </row>
    <row r="12" spans="1:18" ht="17.100000000000001" customHeight="1" x14ac:dyDescent="0.25">
      <c r="A12" s="50"/>
      <c r="B12" s="181" t="str">
        <f>_xlfn.CONCAT("Matrix ","[",C5,"]")</f>
        <v>Matrix [B]</v>
      </c>
      <c r="C12" s="182" t="s">
        <v>2</v>
      </c>
      <c r="D12" s="183" t="s">
        <v>3</v>
      </c>
      <c r="E12" s="39">
        <v>1</v>
      </c>
      <c r="F12" s="39">
        <v>2</v>
      </c>
      <c r="G12" s="180" t="s">
        <v>4</v>
      </c>
      <c r="H12" s="226"/>
      <c r="I12" s="226"/>
      <c r="J12" s="188" t="str">
        <f>_xlfn.CONCAT("Enter values for Matrix [",C5,"] here")</f>
        <v>Enter values for Matrix [B] here</v>
      </c>
      <c r="K12" s="189"/>
      <c r="L12" s="189"/>
      <c r="M12" s="189"/>
      <c r="N12" s="189"/>
      <c r="O12" s="190"/>
      <c r="P12" s="50"/>
    </row>
    <row r="13" spans="1:18" ht="17.100000000000001" customHeight="1" thickBot="1" x14ac:dyDescent="0.3">
      <c r="A13" s="50"/>
      <c r="B13" s="181"/>
      <c r="C13" s="182"/>
      <c r="D13" s="183"/>
      <c r="E13" s="39">
        <v>3</v>
      </c>
      <c r="F13" s="39">
        <v>4</v>
      </c>
      <c r="G13" s="180"/>
      <c r="H13" s="226"/>
      <c r="I13" s="226"/>
      <c r="J13" s="191"/>
      <c r="K13" s="192"/>
      <c r="L13" s="192"/>
      <c r="M13" s="192"/>
      <c r="N13" s="192"/>
      <c r="O13" s="193"/>
      <c r="P13" s="50"/>
    </row>
    <row r="14" spans="1:18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0"/>
    </row>
    <row r="15" spans="1:18" ht="17.100000000000001" customHeight="1" x14ac:dyDescent="0.25">
      <c r="A15" s="50"/>
      <c r="B15" s="181" t="str">
        <f>_xlfn.CONCAT("Matrix ","[",C4,"]",_xlfn.UNICHAR(215),"[",C5,"]")</f>
        <v>Matrix [A]×[B]</v>
      </c>
      <c r="C15" s="182" t="s">
        <v>2</v>
      </c>
      <c r="D15" s="183" t="s">
        <v>3</v>
      </c>
      <c r="E15" s="28">
        <f t="shared" ref="E15:F17" si="0">E8</f>
        <v>1</v>
      </c>
      <c r="F15" s="28">
        <f t="shared" si="0"/>
        <v>2</v>
      </c>
      <c r="G15" s="180" t="s">
        <v>4</v>
      </c>
      <c r="H15" s="187" t="str">
        <f>_xlfn.UNICHAR(215)</f>
        <v>×</v>
      </c>
      <c r="I15" s="180" t="s">
        <v>3</v>
      </c>
      <c r="J15" s="28">
        <f>E12</f>
        <v>1</v>
      </c>
      <c r="K15" s="28">
        <f>F12</f>
        <v>2</v>
      </c>
      <c r="L15" s="180" t="s">
        <v>4</v>
      </c>
      <c r="O15" s="5"/>
      <c r="P15" s="50"/>
    </row>
    <row r="16" spans="1:18" ht="17.100000000000001" customHeight="1" x14ac:dyDescent="0.25">
      <c r="A16" s="50"/>
      <c r="B16" s="181"/>
      <c r="C16" s="182"/>
      <c r="D16" s="183"/>
      <c r="E16" s="28">
        <f t="shared" si="0"/>
        <v>3</v>
      </c>
      <c r="F16" s="28">
        <f t="shared" si="0"/>
        <v>4</v>
      </c>
      <c r="G16" s="180"/>
      <c r="H16" s="187"/>
      <c r="I16" s="180"/>
      <c r="J16" s="28">
        <f>E13</f>
        <v>3</v>
      </c>
      <c r="K16" s="28">
        <f>F13</f>
        <v>4</v>
      </c>
      <c r="L16" s="180"/>
      <c r="O16" s="5"/>
      <c r="P16" s="50"/>
    </row>
    <row r="17" spans="1:16" ht="17.100000000000001" customHeight="1" x14ac:dyDescent="0.25">
      <c r="A17" s="50"/>
      <c r="B17" s="181"/>
      <c r="C17" s="182"/>
      <c r="D17" s="184"/>
      <c r="E17" s="28">
        <f t="shared" si="0"/>
        <v>5</v>
      </c>
      <c r="F17" s="28">
        <f t="shared" si="0"/>
        <v>6</v>
      </c>
      <c r="G17" s="199"/>
      <c r="H17" s="187"/>
      <c r="I17" s="31"/>
      <c r="K17" s="28"/>
      <c r="L17" s="57"/>
      <c r="O17" s="5"/>
      <c r="P17" s="50"/>
    </row>
    <row r="18" spans="1:16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0"/>
    </row>
    <row r="19" spans="1:16" ht="17.100000000000001" customHeight="1" x14ac:dyDescent="0.25">
      <c r="A19" s="50"/>
      <c r="B19" s="181" t="str">
        <f>B15</f>
        <v>Matrix [A]×[B]</v>
      </c>
      <c r="C19" s="182" t="s">
        <v>2</v>
      </c>
      <c r="D19" s="183" t="s">
        <v>3</v>
      </c>
      <c r="E19" s="224" t="str">
        <f>_xlfn.CONCAT("(",E15,_xlfn.UNICHAR(215),J15,") + (",F15,_xlfn.UNICHAR(215),J16,")")</f>
        <v>(1×1) + (2×3)</v>
      </c>
      <c r="F19" s="224"/>
      <c r="G19" s="224"/>
      <c r="H19" s="5"/>
      <c r="I19" s="206" t="str">
        <f>_xlfn.CONCAT("(",E15,_xlfn.UNICHAR(215),K15,") + (",F15,_xlfn.UNICHAR(215),K16,")")</f>
        <v>(1×2) + (2×4)</v>
      </c>
      <c r="J19" s="206"/>
      <c r="K19" s="206"/>
      <c r="L19" s="206"/>
      <c r="M19" s="208" t="s">
        <v>4</v>
      </c>
      <c r="N19" s="75"/>
      <c r="O19" s="75"/>
      <c r="P19" s="50"/>
    </row>
    <row r="20" spans="1:16" ht="17.100000000000001" customHeight="1" x14ac:dyDescent="0.25">
      <c r="A20" s="50"/>
      <c r="B20" s="181"/>
      <c r="C20" s="182"/>
      <c r="D20" s="183"/>
      <c r="E20" s="225" t="str">
        <f>_xlfn.CONCAT("(",E16,_xlfn.UNICHAR(215),J15,") + (",F16,_xlfn.UNICHAR(215),J16,")")</f>
        <v>(3×1) + (4×3)</v>
      </c>
      <c r="F20" s="225"/>
      <c r="G20" s="225"/>
      <c r="H20" s="5"/>
      <c r="I20" s="209" t="str">
        <f>_xlfn.CONCAT("(",E16,_xlfn.UNICHAR(215),K15,") + (",F16,_xlfn.UNICHAR(215),K16,")")</f>
        <v>(3×2) + (4×4)</v>
      </c>
      <c r="J20" s="209"/>
      <c r="K20" s="209"/>
      <c r="L20" s="209"/>
      <c r="M20" s="208"/>
      <c r="N20" s="76"/>
      <c r="O20" s="76"/>
      <c r="P20" s="50"/>
    </row>
    <row r="21" spans="1:16" ht="17.100000000000001" customHeight="1" x14ac:dyDescent="0.25">
      <c r="A21" s="50"/>
      <c r="B21" s="181"/>
      <c r="C21" s="182"/>
      <c r="D21" s="184"/>
      <c r="E21" s="227" t="str">
        <f>_xlfn.CONCAT("(",E17,_xlfn.UNICHAR(215),J15,") + (",F17,_xlfn.UNICHAR(215),J16,")")</f>
        <v>(5×1) + (6×3)</v>
      </c>
      <c r="F21" s="227"/>
      <c r="G21" s="227"/>
      <c r="H21" s="5"/>
      <c r="I21" s="211" t="str">
        <f>_xlfn.CONCAT("(",E17,_xlfn.UNICHAR(215),K15,") + (",F17,_xlfn.UNICHAR(215),K16,")")</f>
        <v>(5×2) + (6×4)</v>
      </c>
      <c r="J21" s="211"/>
      <c r="K21" s="211"/>
      <c r="L21" s="211"/>
      <c r="M21" s="208"/>
      <c r="N21" s="78"/>
      <c r="O21" s="78"/>
      <c r="P21" s="50"/>
    </row>
    <row r="22" spans="1:16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0"/>
    </row>
    <row r="23" spans="1:16" ht="17.100000000000001" customHeight="1" x14ac:dyDescent="0.25">
      <c r="A23" s="50"/>
      <c r="B23" s="222" t="str">
        <f>B15</f>
        <v>Matrix [A]×[B]</v>
      </c>
      <c r="C23" s="182" t="s">
        <v>2</v>
      </c>
      <c r="D23" s="183" t="s">
        <v>3</v>
      </c>
      <c r="E23" s="34">
        <f t="array" ref="E23:F25">MMULT(E15:F17,J15:K16)</f>
        <v>7</v>
      </c>
      <c r="F23" s="44">
        <v>10</v>
      </c>
      <c r="G23" s="180" t="s">
        <v>4</v>
      </c>
      <c r="I23" s="31"/>
      <c r="J23" s="31"/>
      <c r="K23" s="5"/>
      <c r="L23" s="5"/>
      <c r="M23" s="5"/>
      <c r="N23" s="5"/>
      <c r="O23" s="5"/>
      <c r="P23" s="50"/>
    </row>
    <row r="24" spans="1:16" ht="17.100000000000001" customHeight="1" x14ac:dyDescent="0.25">
      <c r="A24" s="50"/>
      <c r="B24" s="222"/>
      <c r="C24" s="182"/>
      <c r="D24" s="183"/>
      <c r="E24" s="40">
        <v>15</v>
      </c>
      <c r="F24" s="69">
        <v>22</v>
      </c>
      <c r="G24" s="180"/>
      <c r="I24" s="31"/>
      <c r="J24" s="31"/>
      <c r="K24" s="5"/>
      <c r="L24" s="5"/>
      <c r="M24" s="5"/>
      <c r="N24" s="5"/>
      <c r="O24" s="5"/>
      <c r="P24" s="50"/>
    </row>
    <row r="25" spans="1:16" ht="17.100000000000001" customHeight="1" x14ac:dyDescent="0.25">
      <c r="A25" s="50"/>
      <c r="B25" s="222"/>
      <c r="C25" s="182"/>
      <c r="D25" s="184"/>
      <c r="E25" s="67">
        <v>23</v>
      </c>
      <c r="F25" s="79">
        <v>34</v>
      </c>
      <c r="G25" s="199"/>
      <c r="I25" s="64"/>
      <c r="J25" s="64"/>
      <c r="K25" s="5"/>
      <c r="L25" s="5"/>
      <c r="M25" s="5"/>
      <c r="N25" s="5"/>
      <c r="O25" s="5"/>
      <c r="P25" s="50"/>
    </row>
    <row r="26" spans="1:16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60"/>
    </row>
    <row r="27" spans="1:16" ht="16.5" thickTop="1" x14ac:dyDescent="0.25"/>
  </sheetData>
  <sheetProtection algorithmName="SHA-512" hashValue="wdIJsrng6lndNJmQsRrNbfUpUYG/RLGWLqlFJ7WII09QUI+BFbN1GrWlQjGtYMHn4OXWNj1gQB9Uf+IPTDwbgA==" saltValue="gKfhnwPdAYBKHrfpu3/Y3A==" spinCount="100000" sheet="1" objects="1" scenarios="1"/>
  <mergeCells count="35">
    <mergeCell ref="D4:P5"/>
    <mergeCell ref="B8:B10"/>
    <mergeCell ref="C8:C10"/>
    <mergeCell ref="D8:D10"/>
    <mergeCell ref="B2:P2"/>
    <mergeCell ref="J8:O10"/>
    <mergeCell ref="M19:M21"/>
    <mergeCell ref="E20:G20"/>
    <mergeCell ref="I20:L20"/>
    <mergeCell ref="E21:G21"/>
    <mergeCell ref="I21:L21"/>
    <mergeCell ref="E19:G19"/>
    <mergeCell ref="I19:L19"/>
    <mergeCell ref="B23:B25"/>
    <mergeCell ref="C23:C25"/>
    <mergeCell ref="D23:D25"/>
    <mergeCell ref="G23:G25"/>
    <mergeCell ref="G8:G10"/>
    <mergeCell ref="B19:B21"/>
    <mergeCell ref="C19:C21"/>
    <mergeCell ref="D19:D21"/>
    <mergeCell ref="B15:B17"/>
    <mergeCell ref="C15:C17"/>
    <mergeCell ref="D15:D17"/>
    <mergeCell ref="G15:G17"/>
    <mergeCell ref="B12:B13"/>
    <mergeCell ref="C12:C13"/>
    <mergeCell ref="D12:D13"/>
    <mergeCell ref="G12:G13"/>
    <mergeCell ref="H12:I13"/>
    <mergeCell ref="J12:O13"/>
    <mergeCell ref="L15:L16"/>
    <mergeCell ref="I15:I16"/>
    <mergeCell ref="H8:I10"/>
    <mergeCell ref="H15:H17"/>
  </mergeCells>
  <hyperlinks>
    <hyperlink ref="R2" location="'Main Page'!A1" display="Go to TOC Sheet" xr:uid="{525F66CE-3557-4FF7-B772-047ABB6D0289}"/>
  </hyperlinks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6DE59-E814-46BB-B388-BCD89CF8090E}">
  <sheetPr codeName="Sheet20"/>
  <dimension ref="A1:S27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9" width="3.7109375" style="45" customWidth="1"/>
    <col min="10" max="12" width="7.7109375" style="45" customWidth="1"/>
    <col min="13" max="13" width="5.140625" style="45" bestFit="1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13" t="s">
        <v>48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5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5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5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39">
        <v>1</v>
      </c>
      <c r="F8" s="39">
        <v>2</v>
      </c>
      <c r="G8" s="180" t="s">
        <v>4</v>
      </c>
      <c r="H8" s="180"/>
      <c r="I8" s="180"/>
      <c r="J8" s="188" t="str">
        <f>_xlfn.CONCAT("Enter values for Matrix [",C4,"] here")</f>
        <v>Enter values for Matrix [A] here</v>
      </c>
      <c r="K8" s="189"/>
      <c r="L8" s="189"/>
      <c r="M8" s="189"/>
      <c r="N8" s="189"/>
      <c r="O8" s="190"/>
      <c r="Q8" s="52"/>
    </row>
    <row r="9" spans="1:19" s="53" customFormat="1" ht="17.100000000000001" customHeight="1" x14ac:dyDescent="0.25">
      <c r="A9" s="52"/>
      <c r="B9" s="181"/>
      <c r="C9" s="182"/>
      <c r="D9" s="183"/>
      <c r="E9" s="39">
        <v>3</v>
      </c>
      <c r="F9" s="39">
        <v>4</v>
      </c>
      <c r="G9" s="180"/>
      <c r="H9" s="180"/>
      <c r="I9" s="180"/>
      <c r="J9" s="228"/>
      <c r="K9" s="229"/>
      <c r="L9" s="229"/>
      <c r="M9" s="229"/>
      <c r="N9" s="229"/>
      <c r="O9" s="230"/>
      <c r="Q9" s="52"/>
    </row>
    <row r="10" spans="1:19" s="53" customFormat="1" ht="17.100000000000001" customHeight="1" thickBot="1" x14ac:dyDescent="0.3">
      <c r="A10" s="52"/>
      <c r="B10" s="181"/>
      <c r="C10" s="182"/>
      <c r="D10" s="184"/>
      <c r="E10" s="39">
        <v>5</v>
      </c>
      <c r="F10" s="39">
        <v>6</v>
      </c>
      <c r="G10" s="199"/>
      <c r="H10" s="180"/>
      <c r="I10" s="180"/>
      <c r="J10" s="191"/>
      <c r="K10" s="192"/>
      <c r="L10" s="192"/>
      <c r="M10" s="192"/>
      <c r="N10" s="192"/>
      <c r="O10" s="193"/>
      <c r="Q10" s="52"/>
    </row>
    <row r="11" spans="1:19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0"/>
    </row>
    <row r="12" spans="1:19" ht="17.100000000000001" customHeight="1" x14ac:dyDescent="0.25">
      <c r="A12" s="50"/>
      <c r="B12" s="181" t="str">
        <f>_xlfn.CONCAT("Matrix ","[",C5,"]")</f>
        <v>Matrix [B]</v>
      </c>
      <c r="C12" s="182" t="s">
        <v>2</v>
      </c>
      <c r="D12" s="183" t="s">
        <v>3</v>
      </c>
      <c r="E12" s="39">
        <v>1</v>
      </c>
      <c r="F12" s="39">
        <v>2</v>
      </c>
      <c r="G12" s="39">
        <v>3</v>
      </c>
      <c r="H12" s="180" t="s">
        <v>4</v>
      </c>
      <c r="I12" s="216"/>
      <c r="J12" s="216"/>
      <c r="K12" s="188" t="str">
        <f>_xlfn.CONCAT("Enter values for Matrix [",C5,"] here")</f>
        <v>Enter values for Matrix [B] here</v>
      </c>
      <c r="L12" s="189"/>
      <c r="M12" s="189"/>
      <c r="N12" s="189"/>
      <c r="O12" s="189"/>
      <c r="P12" s="190"/>
      <c r="Q12" s="50"/>
    </row>
    <row r="13" spans="1:19" ht="17.100000000000001" customHeight="1" thickBot="1" x14ac:dyDescent="0.3">
      <c r="A13" s="50"/>
      <c r="B13" s="181"/>
      <c r="C13" s="182"/>
      <c r="D13" s="183"/>
      <c r="E13" s="39">
        <v>4</v>
      </c>
      <c r="F13" s="39">
        <v>5</v>
      </c>
      <c r="G13" s="39">
        <v>6</v>
      </c>
      <c r="H13" s="180"/>
      <c r="I13" s="216"/>
      <c r="J13" s="216"/>
      <c r="K13" s="191"/>
      <c r="L13" s="192"/>
      <c r="M13" s="192"/>
      <c r="N13" s="192"/>
      <c r="O13" s="192"/>
      <c r="P13" s="193"/>
      <c r="Q13" s="50"/>
    </row>
    <row r="14" spans="1:19" ht="17.100000000000001" customHeight="1" x14ac:dyDescent="0.25">
      <c r="A14" s="50"/>
      <c r="B14" s="26"/>
      <c r="C14" s="2"/>
      <c r="D14" s="5"/>
      <c r="E14" s="54"/>
      <c r="F14" s="54"/>
      <c r="G14" s="54"/>
      <c r="H14" s="5"/>
      <c r="I14" s="5"/>
      <c r="J14" s="5"/>
      <c r="K14" s="5"/>
      <c r="L14" s="5"/>
      <c r="M14" s="5"/>
      <c r="N14" s="5"/>
      <c r="O14" s="5"/>
      <c r="P14" s="5"/>
      <c r="Q14" s="50"/>
    </row>
    <row r="15" spans="1:19" ht="17.100000000000001" customHeight="1" x14ac:dyDescent="0.25">
      <c r="A15" s="50"/>
      <c r="B15" s="181" t="str">
        <f>_xlfn.CONCAT("Matrix ","[",C4,"]",_xlfn.UNICHAR(215),"[",C5,"]")</f>
        <v>Matrix [A]×[B]</v>
      </c>
      <c r="C15" s="182" t="s">
        <v>2</v>
      </c>
      <c r="D15" s="183" t="s">
        <v>3</v>
      </c>
      <c r="E15" s="28">
        <f t="shared" ref="E15:F17" si="0">E8</f>
        <v>1</v>
      </c>
      <c r="F15" s="28">
        <f t="shared" si="0"/>
        <v>2</v>
      </c>
      <c r="G15" s="180" t="s">
        <v>4</v>
      </c>
      <c r="H15" s="187" t="str">
        <f>_xlfn.UNICHAR(215)</f>
        <v>×</v>
      </c>
      <c r="I15" s="183" t="s">
        <v>3</v>
      </c>
      <c r="J15" s="28">
        <f t="shared" ref="J15:L16" si="1">E12</f>
        <v>1</v>
      </c>
      <c r="K15" s="28">
        <f t="shared" si="1"/>
        <v>2</v>
      </c>
      <c r="L15" s="28">
        <f t="shared" si="1"/>
        <v>3</v>
      </c>
      <c r="M15" s="183" t="s">
        <v>4</v>
      </c>
      <c r="O15" s="5"/>
      <c r="P15" s="5"/>
      <c r="Q15" s="50"/>
    </row>
    <row r="16" spans="1:19" ht="17.100000000000001" customHeight="1" x14ac:dyDescent="0.25">
      <c r="A16" s="50"/>
      <c r="B16" s="181"/>
      <c r="C16" s="182"/>
      <c r="D16" s="183"/>
      <c r="E16" s="28">
        <f t="shared" si="0"/>
        <v>3</v>
      </c>
      <c r="F16" s="28">
        <f t="shared" si="0"/>
        <v>4</v>
      </c>
      <c r="G16" s="180"/>
      <c r="H16" s="187"/>
      <c r="I16" s="183"/>
      <c r="J16" s="28">
        <f t="shared" si="1"/>
        <v>4</v>
      </c>
      <c r="K16" s="28">
        <f t="shared" si="1"/>
        <v>5</v>
      </c>
      <c r="L16" s="28">
        <f t="shared" si="1"/>
        <v>6</v>
      </c>
      <c r="M16" s="183"/>
      <c r="O16" s="5"/>
      <c r="P16" s="5"/>
      <c r="Q16" s="50"/>
    </row>
    <row r="17" spans="1:17" ht="17.100000000000001" customHeight="1" x14ac:dyDescent="0.25">
      <c r="A17" s="50"/>
      <c r="B17" s="181"/>
      <c r="C17" s="182"/>
      <c r="D17" s="184"/>
      <c r="E17" s="28">
        <f t="shared" si="0"/>
        <v>5</v>
      </c>
      <c r="F17" s="28">
        <f t="shared" si="0"/>
        <v>6</v>
      </c>
      <c r="G17" s="199"/>
      <c r="H17" s="187"/>
      <c r="I17" s="56"/>
      <c r="J17" s="28"/>
      <c r="K17" s="28"/>
      <c r="L17" s="28"/>
      <c r="M17" s="30"/>
      <c r="O17" s="5"/>
      <c r="P17" s="5"/>
      <c r="Q17" s="50"/>
    </row>
    <row r="18" spans="1:17" ht="17.100000000000001" customHeight="1" x14ac:dyDescent="0.25">
      <c r="A18" s="50"/>
      <c r="B18" s="26"/>
      <c r="C18" s="2"/>
      <c r="D18" s="5"/>
      <c r="E18" s="54"/>
      <c r="F18" s="54"/>
      <c r="G18" s="54"/>
      <c r="H18" s="5"/>
      <c r="I18" s="5"/>
      <c r="J18" s="5"/>
      <c r="K18" s="5"/>
      <c r="L18" s="5"/>
      <c r="M18" s="5"/>
      <c r="N18" s="5"/>
      <c r="O18" s="5"/>
      <c r="P18" s="5"/>
      <c r="Q18" s="50"/>
    </row>
    <row r="19" spans="1:17" ht="17.100000000000001" customHeight="1" x14ac:dyDescent="0.25">
      <c r="A19" s="50"/>
      <c r="B19" s="181" t="str">
        <f>B15</f>
        <v>Matrix [A]×[B]</v>
      </c>
      <c r="C19" s="182" t="s">
        <v>2</v>
      </c>
      <c r="D19" s="183" t="s">
        <v>3</v>
      </c>
      <c r="E19" s="224" t="str">
        <f>_xlfn.CONCAT("(",E15,_xlfn.UNICHAR(215),J15,") + (",F15,_xlfn.UNICHAR(215),J16,")")</f>
        <v>(1×1) + (2×4)</v>
      </c>
      <c r="F19" s="224"/>
      <c r="G19" s="71"/>
      <c r="H19" s="206" t="str">
        <f>_xlfn.CONCAT("(",E15,_xlfn.UNICHAR(215),K15,") + (",F15,_xlfn.UNICHAR(215),K16,")")</f>
        <v>(1×2) + (2×5)</v>
      </c>
      <c r="I19" s="206"/>
      <c r="J19" s="206"/>
      <c r="K19" s="206"/>
      <c r="L19" s="72"/>
      <c r="M19" s="207" t="str">
        <f>_xlfn.CONCAT("(",E15,_xlfn.UNICHAR(215),L15,") + (",F15,_xlfn.UNICHAR(215),L16,")")</f>
        <v>(1×3) + (2×6)</v>
      </c>
      <c r="N19" s="207"/>
      <c r="O19" s="207"/>
      <c r="P19" s="180" t="s">
        <v>4</v>
      </c>
      <c r="Q19" s="50"/>
    </row>
    <row r="20" spans="1:17" ht="17.100000000000001" customHeight="1" x14ac:dyDescent="0.25">
      <c r="A20" s="50"/>
      <c r="B20" s="181"/>
      <c r="C20" s="182"/>
      <c r="D20" s="183"/>
      <c r="E20" s="225" t="str">
        <f>_xlfn.CONCAT("(",E16,_xlfn.UNICHAR(215),J15,") + (",F16,_xlfn.UNICHAR(215),J16,")")</f>
        <v>(3×1) + (4×4)</v>
      </c>
      <c r="F20" s="225"/>
      <c r="G20" s="73"/>
      <c r="H20" s="209" t="str">
        <f>_xlfn.CONCAT("(",E16,_xlfn.UNICHAR(215),K15,") + (",F16,_xlfn.UNICHAR(215),K16,")")</f>
        <v>(3×2) + (4×5)</v>
      </c>
      <c r="I20" s="209"/>
      <c r="J20" s="209"/>
      <c r="K20" s="209"/>
      <c r="L20" s="74"/>
      <c r="M20" s="210" t="str">
        <f>_xlfn.CONCAT("(",E16,_xlfn.UNICHAR(215),L15,") + (",F16,_xlfn.UNICHAR(215),L16,")")</f>
        <v>(3×3) + (4×6)</v>
      </c>
      <c r="N20" s="210"/>
      <c r="O20" s="210"/>
      <c r="P20" s="180"/>
      <c r="Q20" s="50"/>
    </row>
    <row r="21" spans="1:17" ht="17.100000000000001" customHeight="1" x14ac:dyDescent="0.25">
      <c r="A21" s="50"/>
      <c r="B21" s="181"/>
      <c r="C21" s="182"/>
      <c r="D21" s="184"/>
      <c r="E21" s="227" t="str">
        <f>_xlfn.CONCAT("(",E17,_xlfn.UNICHAR(215),J15,") + (",F17,_xlfn.UNICHAR(215),J16,")")</f>
        <v>(5×1) + (6×4)</v>
      </c>
      <c r="F21" s="227"/>
      <c r="G21" s="80"/>
      <c r="H21" s="211" t="str">
        <f>_xlfn.CONCAT("(",E17,_xlfn.UNICHAR(215),K15,") + (",F17,_xlfn.UNICHAR(215),K16,")")</f>
        <v>(5×2) + (6×5)</v>
      </c>
      <c r="I21" s="211"/>
      <c r="J21" s="211"/>
      <c r="K21" s="211"/>
      <c r="L21" s="77"/>
      <c r="M21" s="212" t="str">
        <f>_xlfn.CONCAT("(",E17,_xlfn.UNICHAR(215),L15,") + (",F17,_xlfn.UNICHAR(215),L16,")")</f>
        <v>(5×3) + (6×6)</v>
      </c>
      <c r="N21" s="212"/>
      <c r="O21" s="212"/>
      <c r="P21" s="180"/>
      <c r="Q21" s="50"/>
    </row>
    <row r="22" spans="1:17" ht="17.100000000000001" customHeight="1" x14ac:dyDescent="0.25">
      <c r="A22" s="50"/>
      <c r="B22" s="26"/>
      <c r="C22" s="2"/>
      <c r="D22" s="5"/>
      <c r="E22" s="54"/>
      <c r="F22" s="54"/>
      <c r="G22" s="54"/>
      <c r="H22" s="5"/>
      <c r="I22" s="5"/>
      <c r="J22" s="5"/>
      <c r="K22" s="5"/>
      <c r="L22" s="5"/>
      <c r="M22" s="5"/>
      <c r="N22" s="5"/>
      <c r="O22" s="5"/>
      <c r="P22" s="5"/>
      <c r="Q22" s="50"/>
    </row>
    <row r="23" spans="1:17" ht="17.100000000000001" customHeight="1" x14ac:dyDescent="0.25">
      <c r="A23" s="50"/>
      <c r="B23" s="222" t="str">
        <f>B15</f>
        <v>Matrix [A]×[B]</v>
      </c>
      <c r="C23" s="182" t="s">
        <v>2</v>
      </c>
      <c r="D23" s="183" t="s">
        <v>3</v>
      </c>
      <c r="E23" s="34">
        <f t="array" ref="E23:G25">MMULT(E15:F17,J15:L16)</f>
        <v>9</v>
      </c>
      <c r="F23" s="44">
        <v>12</v>
      </c>
      <c r="G23" s="41">
        <v>15</v>
      </c>
      <c r="H23" s="180" t="s">
        <v>4</v>
      </c>
      <c r="I23" s="31"/>
      <c r="J23" s="31"/>
      <c r="K23" s="5"/>
      <c r="L23" s="5"/>
      <c r="M23" s="5"/>
      <c r="N23" s="5"/>
      <c r="O23" s="5"/>
      <c r="P23" s="5"/>
      <c r="Q23" s="50"/>
    </row>
    <row r="24" spans="1:17" ht="17.100000000000001" customHeight="1" x14ac:dyDescent="0.25">
      <c r="A24" s="50"/>
      <c r="B24" s="222"/>
      <c r="C24" s="182"/>
      <c r="D24" s="183"/>
      <c r="E24" s="40">
        <v>19</v>
      </c>
      <c r="F24" s="69">
        <v>26</v>
      </c>
      <c r="G24" s="42">
        <v>33</v>
      </c>
      <c r="H24" s="180"/>
      <c r="I24" s="31"/>
      <c r="J24" s="31"/>
      <c r="K24" s="5"/>
      <c r="L24" s="5"/>
      <c r="M24" s="5"/>
      <c r="N24" s="5"/>
      <c r="O24" s="5"/>
      <c r="P24" s="5"/>
      <c r="Q24" s="50"/>
    </row>
    <row r="25" spans="1:17" ht="17.100000000000001" customHeight="1" x14ac:dyDescent="0.25">
      <c r="A25" s="50"/>
      <c r="B25" s="222"/>
      <c r="C25" s="182"/>
      <c r="D25" s="184"/>
      <c r="E25" s="67">
        <v>29</v>
      </c>
      <c r="F25" s="79">
        <v>40</v>
      </c>
      <c r="G25" s="43">
        <v>51</v>
      </c>
      <c r="H25" s="199"/>
      <c r="I25" s="64"/>
      <c r="J25" s="64"/>
      <c r="K25" s="5"/>
      <c r="L25" s="5"/>
      <c r="M25" s="5"/>
      <c r="N25" s="5"/>
      <c r="O25" s="5"/>
      <c r="P25" s="5"/>
      <c r="Q25" s="50"/>
    </row>
    <row r="26" spans="1:17" ht="17.100000000000001" customHeight="1" thickBot="1" x14ac:dyDescent="0.3">
      <c r="A26" s="50"/>
      <c r="B26" s="35"/>
      <c r="C26" s="23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60"/>
    </row>
    <row r="27" spans="1:17" ht="16.5" thickTop="1" x14ac:dyDescent="0.25"/>
  </sheetData>
  <sheetProtection algorithmName="SHA-512" hashValue="NR7zc2GAE6bKCY6haVG2Vbbbki/MP0b6NMXEtdMQuxChbBQfJpwaM1i4GpcMIU7FS2tvGXsj9QaIwjd2nitYbQ==" saltValue="eWTLdSfhyIGlKj402ptssQ==" spinCount="100000" sheet="1" objects="1" scenarios="1"/>
  <mergeCells count="38">
    <mergeCell ref="D4:Q5"/>
    <mergeCell ref="B8:B10"/>
    <mergeCell ref="C8:C10"/>
    <mergeCell ref="D8:D10"/>
    <mergeCell ref="B2:Q2"/>
    <mergeCell ref="B12:B13"/>
    <mergeCell ref="C12:C13"/>
    <mergeCell ref="D12:D13"/>
    <mergeCell ref="H12:H13"/>
    <mergeCell ref="I12:J13"/>
    <mergeCell ref="B15:B17"/>
    <mergeCell ref="C15:C17"/>
    <mergeCell ref="D15:D17"/>
    <mergeCell ref="G15:G17"/>
    <mergeCell ref="H15:H17"/>
    <mergeCell ref="M19:O19"/>
    <mergeCell ref="M20:O20"/>
    <mergeCell ref="M21:O21"/>
    <mergeCell ref="E21:F21"/>
    <mergeCell ref="H19:K19"/>
    <mergeCell ref="H20:K20"/>
    <mergeCell ref="H21:K21"/>
    <mergeCell ref="B23:B25"/>
    <mergeCell ref="C23:C25"/>
    <mergeCell ref="D23:D25"/>
    <mergeCell ref="H23:H25"/>
    <mergeCell ref="J8:O10"/>
    <mergeCell ref="I15:I16"/>
    <mergeCell ref="M15:M16"/>
    <mergeCell ref="E19:F19"/>
    <mergeCell ref="E20:F20"/>
    <mergeCell ref="G8:G10"/>
    <mergeCell ref="H8:I10"/>
    <mergeCell ref="K12:P13"/>
    <mergeCell ref="P19:P21"/>
    <mergeCell ref="B19:B21"/>
    <mergeCell ref="C19:C21"/>
    <mergeCell ref="D19:D21"/>
  </mergeCells>
  <hyperlinks>
    <hyperlink ref="S2" location="'Main Page'!A1" display="Go to TOC Sheet" xr:uid="{10DEDA07-0783-4BFF-B2E2-42799FDCE528}"/>
  </hyperlinks>
  <pageMargins left="0.7" right="0.7" top="0.75" bottom="0.75" header="0.3" footer="0.3"/>
  <pageSetup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69A2-993E-4411-ACFC-D70CBB3AC4E8}">
  <sheetPr codeName="Sheet21"/>
  <dimension ref="A1:S28"/>
  <sheetViews>
    <sheetView zoomScale="115" zoomScaleNormal="115" workbookViewId="0">
      <selection activeCell="S2" sqref="S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19" style="45" customWidth="1"/>
    <col min="20" max="16384" width="9.140625" style="45"/>
  </cols>
  <sheetData>
    <row r="1" spans="1:19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9" ht="17.25" thickTop="1" thickBot="1" x14ac:dyDescent="0.3">
      <c r="B2" s="213" t="s">
        <v>49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5"/>
      <c r="S2" s="18" t="s">
        <v>52</v>
      </c>
    </row>
    <row r="3" spans="1:19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9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74"/>
    </row>
    <row r="5" spans="1:19" ht="24.95" customHeight="1" thickBot="1" x14ac:dyDescent="0.3">
      <c r="A5" s="5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205"/>
    </row>
    <row r="6" spans="1:19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</row>
    <row r="7" spans="1:19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1"/>
    </row>
    <row r="8" spans="1:19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39">
        <v>3</v>
      </c>
      <c r="F8" s="39">
        <v>1</v>
      </c>
      <c r="G8" s="39">
        <v>2</v>
      </c>
      <c r="H8" s="180" t="s">
        <v>4</v>
      </c>
      <c r="I8" s="216"/>
      <c r="J8" s="216"/>
      <c r="K8" s="166" t="str">
        <f>_xlfn.CONCAT("Enter values for Matrix [",C4,"] here")</f>
        <v>Enter values for Matrix [A] here</v>
      </c>
      <c r="L8" s="167"/>
      <c r="M8" s="167"/>
      <c r="N8" s="167"/>
      <c r="O8" s="167"/>
      <c r="P8" s="168"/>
      <c r="Q8" s="52"/>
    </row>
    <row r="9" spans="1:19" s="53" customFormat="1" ht="17.100000000000001" customHeight="1" x14ac:dyDescent="0.25">
      <c r="A9" s="52"/>
      <c r="B9" s="181"/>
      <c r="C9" s="182"/>
      <c r="D9" s="183"/>
      <c r="E9" s="39">
        <v>1</v>
      </c>
      <c r="F9" s="39">
        <v>4</v>
      </c>
      <c r="G9" s="39">
        <v>0</v>
      </c>
      <c r="H9" s="180"/>
      <c r="I9" s="216"/>
      <c r="J9" s="216"/>
      <c r="K9" s="217"/>
      <c r="L9" s="218"/>
      <c r="M9" s="218"/>
      <c r="N9" s="218"/>
      <c r="O9" s="218"/>
      <c r="P9" s="219"/>
      <c r="Q9" s="52"/>
    </row>
    <row r="10" spans="1:19" s="53" customFormat="1" ht="17.100000000000001" customHeight="1" thickBot="1" x14ac:dyDescent="0.3">
      <c r="A10" s="52"/>
      <c r="B10" s="181"/>
      <c r="C10" s="182"/>
      <c r="D10" s="184"/>
      <c r="E10" s="39">
        <v>2</v>
      </c>
      <c r="F10" s="39">
        <v>0</v>
      </c>
      <c r="G10" s="39">
        <v>3</v>
      </c>
      <c r="H10" s="199"/>
      <c r="I10" s="216"/>
      <c r="J10" s="216"/>
      <c r="K10" s="169"/>
      <c r="L10" s="170"/>
      <c r="M10" s="170"/>
      <c r="N10" s="170"/>
      <c r="O10" s="170"/>
      <c r="P10" s="171"/>
      <c r="Q10" s="52"/>
    </row>
    <row r="11" spans="1:19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0"/>
    </row>
    <row r="12" spans="1:19" ht="17.100000000000001" customHeight="1" x14ac:dyDescent="0.25">
      <c r="A12" s="50"/>
      <c r="B12" s="181" t="str">
        <f>_xlfn.CONCAT("Matrix ","[",C5,"]")</f>
        <v>Matrix [B]</v>
      </c>
      <c r="C12" s="182" t="s">
        <v>2</v>
      </c>
      <c r="D12" s="183" t="s">
        <v>3</v>
      </c>
      <c r="E12" s="39">
        <v>1</v>
      </c>
      <c r="F12" s="180" t="s">
        <v>4</v>
      </c>
      <c r="G12" s="223"/>
      <c r="H12" s="166" t="str">
        <f>_xlfn.CONCAT("Enter values for Matrix [",C5,"] here")</f>
        <v>Enter values for Matrix [B] here</v>
      </c>
      <c r="I12" s="167"/>
      <c r="J12" s="167"/>
      <c r="K12" s="167"/>
      <c r="L12" s="167"/>
      <c r="M12" s="168"/>
      <c r="Q12" s="50"/>
    </row>
    <row r="13" spans="1:19" ht="17.100000000000001" customHeight="1" x14ac:dyDescent="0.25">
      <c r="A13" s="50"/>
      <c r="B13" s="181"/>
      <c r="C13" s="182"/>
      <c r="D13" s="183"/>
      <c r="E13" s="39">
        <v>2</v>
      </c>
      <c r="F13" s="180"/>
      <c r="G13" s="223"/>
      <c r="H13" s="217"/>
      <c r="I13" s="218"/>
      <c r="J13" s="218"/>
      <c r="K13" s="218"/>
      <c r="L13" s="218"/>
      <c r="M13" s="219"/>
      <c r="Q13" s="50"/>
    </row>
    <row r="14" spans="1:19" ht="17.100000000000001" customHeight="1" thickBot="1" x14ac:dyDescent="0.3">
      <c r="A14" s="50"/>
      <c r="B14" s="181"/>
      <c r="C14" s="182"/>
      <c r="D14" s="184"/>
      <c r="E14" s="39">
        <v>3</v>
      </c>
      <c r="F14" s="199"/>
      <c r="G14" s="223"/>
      <c r="H14" s="169"/>
      <c r="I14" s="170"/>
      <c r="J14" s="170"/>
      <c r="K14" s="170"/>
      <c r="L14" s="170"/>
      <c r="M14" s="171"/>
      <c r="Q14" s="50"/>
    </row>
    <row r="15" spans="1:19" ht="17.100000000000001" customHeight="1" x14ac:dyDescent="0.25">
      <c r="A15" s="50"/>
      <c r="B15" s="26"/>
      <c r="C15" s="2"/>
      <c r="D15" s="5"/>
      <c r="E15" s="54"/>
      <c r="F15" s="54"/>
      <c r="G15" s="54"/>
      <c r="H15" s="5"/>
      <c r="I15" s="5"/>
      <c r="J15" s="5"/>
      <c r="K15" s="5"/>
      <c r="L15" s="5"/>
      <c r="M15" s="5"/>
      <c r="N15" s="5"/>
      <c r="O15" s="5"/>
      <c r="P15" s="5"/>
      <c r="Q15" s="50"/>
    </row>
    <row r="16" spans="1:19" ht="17.100000000000001" customHeight="1" x14ac:dyDescent="0.25">
      <c r="A16" s="50"/>
      <c r="B16" s="181" t="str">
        <f>_xlfn.CONCAT("Matrix ","[",C4,"]",_xlfn.UNICHAR(215),"[",C5,"]")</f>
        <v>Matrix [A]×[B]</v>
      </c>
      <c r="C16" s="182" t="s">
        <v>2</v>
      </c>
      <c r="D16" s="183" t="s">
        <v>3</v>
      </c>
      <c r="E16" s="28">
        <f>E8</f>
        <v>3</v>
      </c>
      <c r="F16" s="28">
        <f t="shared" ref="F16:G16" si="0">F8</f>
        <v>1</v>
      </c>
      <c r="G16" s="28">
        <f t="shared" si="0"/>
        <v>2</v>
      </c>
      <c r="H16" s="180" t="s">
        <v>4</v>
      </c>
      <c r="I16" s="187" t="str">
        <f>_xlfn.UNICHAR(215)</f>
        <v>×</v>
      </c>
      <c r="J16" s="183" t="s">
        <v>3</v>
      </c>
      <c r="K16" s="28">
        <f>E12</f>
        <v>1</v>
      </c>
      <c r="L16" s="180" t="s">
        <v>4</v>
      </c>
      <c r="M16" s="28"/>
      <c r="O16" s="5"/>
      <c r="P16" s="5"/>
      <c r="Q16" s="50"/>
    </row>
    <row r="17" spans="1:17" ht="17.100000000000001" customHeight="1" x14ac:dyDescent="0.25">
      <c r="A17" s="50"/>
      <c r="B17" s="181"/>
      <c r="C17" s="182"/>
      <c r="D17" s="183"/>
      <c r="E17" s="28">
        <f t="shared" ref="E17:G18" si="1">E9</f>
        <v>1</v>
      </c>
      <c r="F17" s="28">
        <f t="shared" si="1"/>
        <v>4</v>
      </c>
      <c r="G17" s="28">
        <f t="shared" si="1"/>
        <v>0</v>
      </c>
      <c r="H17" s="180"/>
      <c r="I17" s="187"/>
      <c r="J17" s="183"/>
      <c r="K17" s="28">
        <f t="shared" ref="K17:K18" si="2">E13</f>
        <v>2</v>
      </c>
      <c r="L17" s="180"/>
      <c r="M17" s="28"/>
      <c r="O17" s="5"/>
      <c r="P17" s="5"/>
      <c r="Q17" s="50"/>
    </row>
    <row r="18" spans="1:17" ht="17.100000000000001" customHeight="1" x14ac:dyDescent="0.25">
      <c r="A18" s="50"/>
      <c r="B18" s="181"/>
      <c r="C18" s="182"/>
      <c r="D18" s="184"/>
      <c r="E18" s="28">
        <f t="shared" si="1"/>
        <v>2</v>
      </c>
      <c r="F18" s="28">
        <f t="shared" si="1"/>
        <v>0</v>
      </c>
      <c r="G18" s="28">
        <f t="shared" si="1"/>
        <v>3</v>
      </c>
      <c r="H18" s="199"/>
      <c r="I18" s="187"/>
      <c r="J18" s="183"/>
      <c r="K18" s="28">
        <f t="shared" si="2"/>
        <v>3</v>
      </c>
      <c r="L18" s="180"/>
      <c r="M18" s="28"/>
      <c r="O18" s="5"/>
      <c r="P18" s="5"/>
      <c r="Q18" s="50"/>
    </row>
    <row r="19" spans="1:17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0"/>
    </row>
    <row r="20" spans="1:17" ht="17.100000000000001" customHeight="1" x14ac:dyDescent="0.25">
      <c r="A20" s="50"/>
      <c r="B20" s="181" t="str">
        <f>B16</f>
        <v>Matrix [A]×[B]</v>
      </c>
      <c r="C20" s="182" t="s">
        <v>2</v>
      </c>
      <c r="D20" s="183" t="s">
        <v>3</v>
      </c>
      <c r="E20" s="224" t="str">
        <f>_xlfn.CONCAT("(",E16,_xlfn.UNICHAR(215),K16,") + (",F16,_xlfn.UNICHAR(215),K17,") + (",G16,_xlfn.UNICHAR(215),K18,")")</f>
        <v>(3×1) + (1×2) + (2×3)</v>
      </c>
      <c r="F20" s="224"/>
      <c r="G20" s="224"/>
      <c r="H20" s="208" t="s">
        <v>4</v>
      </c>
      <c r="I20" s="72"/>
      <c r="J20" s="72"/>
      <c r="K20" s="72"/>
      <c r="L20" s="72"/>
      <c r="M20" s="57"/>
      <c r="N20" s="75"/>
      <c r="O20" s="75"/>
      <c r="P20" s="75"/>
      <c r="Q20" s="50"/>
    </row>
    <row r="21" spans="1:17" ht="17.100000000000001" customHeight="1" x14ac:dyDescent="0.25">
      <c r="A21" s="50"/>
      <c r="B21" s="181"/>
      <c r="C21" s="182"/>
      <c r="D21" s="183"/>
      <c r="E21" s="225" t="str">
        <f>_xlfn.CONCAT("(",E17,_xlfn.UNICHAR(215),K16,") + (",F17,_xlfn.UNICHAR(215),K17,") + (",G17,_xlfn.UNICHAR(215),K18,")")</f>
        <v>(1×1) + (4×2) + (0×3)</v>
      </c>
      <c r="F21" s="225"/>
      <c r="G21" s="225"/>
      <c r="H21" s="208"/>
      <c r="I21" s="74"/>
      <c r="J21" s="74"/>
      <c r="K21" s="74"/>
      <c r="L21" s="74"/>
      <c r="M21" s="57"/>
      <c r="N21" s="76"/>
      <c r="O21" s="76"/>
      <c r="P21" s="76"/>
      <c r="Q21" s="50"/>
    </row>
    <row r="22" spans="1:17" ht="17.100000000000001" customHeight="1" x14ac:dyDescent="0.25">
      <c r="A22" s="50"/>
      <c r="B22" s="181"/>
      <c r="C22" s="182"/>
      <c r="D22" s="184"/>
      <c r="E22" s="227" t="str">
        <f>_xlfn.CONCAT("(",E18,_xlfn.UNICHAR(215),K16,") + (",F18,_xlfn.UNICHAR(215),K17,") + (",G18,_xlfn.UNICHAR(215),K18,")")</f>
        <v>(2×1) + (0×2) + (3×3)</v>
      </c>
      <c r="F22" s="227"/>
      <c r="G22" s="227"/>
      <c r="H22" s="208"/>
      <c r="I22" s="77"/>
      <c r="J22" s="77"/>
      <c r="K22" s="77"/>
      <c r="L22" s="77"/>
      <c r="M22" s="57"/>
      <c r="N22" s="78"/>
      <c r="O22" s="78"/>
      <c r="P22" s="78"/>
      <c r="Q22" s="50"/>
    </row>
    <row r="23" spans="1:17" ht="17.100000000000001" customHeight="1" x14ac:dyDescent="0.25">
      <c r="A23" s="50"/>
      <c r="B23" s="26"/>
      <c r="C23" s="2"/>
      <c r="D23" s="5"/>
      <c r="E23" s="54"/>
      <c r="F23" s="54"/>
      <c r="G23" s="54"/>
      <c r="H23" s="5"/>
      <c r="I23" s="5"/>
      <c r="J23" s="5"/>
      <c r="K23" s="5"/>
      <c r="L23" s="5"/>
      <c r="M23" s="5"/>
      <c r="N23" s="5"/>
      <c r="O23" s="5"/>
      <c r="P23" s="5"/>
      <c r="Q23" s="50"/>
    </row>
    <row r="24" spans="1:17" ht="17.100000000000001" customHeight="1" x14ac:dyDescent="0.25">
      <c r="A24" s="50"/>
      <c r="B24" s="222" t="str">
        <f>B16</f>
        <v>Matrix [A]×[B]</v>
      </c>
      <c r="C24" s="182" t="s">
        <v>2</v>
      </c>
      <c r="D24" s="183" t="s">
        <v>3</v>
      </c>
      <c r="E24" s="34">
        <f t="array" ref="E24:E26">MMULT(E16:G18,K16:K18)</f>
        <v>11</v>
      </c>
      <c r="F24" s="180" t="s">
        <v>4</v>
      </c>
      <c r="G24" s="41"/>
      <c r="I24" s="31"/>
      <c r="J24" s="31"/>
      <c r="K24" s="5"/>
      <c r="L24" s="5"/>
      <c r="M24" s="5"/>
      <c r="N24" s="5"/>
      <c r="O24" s="5"/>
      <c r="P24" s="5"/>
      <c r="Q24" s="50"/>
    </row>
    <row r="25" spans="1:17" ht="17.100000000000001" customHeight="1" x14ac:dyDescent="0.25">
      <c r="A25" s="50"/>
      <c r="B25" s="222"/>
      <c r="C25" s="182"/>
      <c r="D25" s="183"/>
      <c r="E25" s="40">
        <v>9</v>
      </c>
      <c r="F25" s="180"/>
      <c r="G25" s="42"/>
      <c r="I25" s="31"/>
      <c r="J25" s="31"/>
      <c r="K25" s="5"/>
      <c r="L25" s="5"/>
      <c r="M25" s="5"/>
      <c r="N25" s="5"/>
      <c r="O25" s="5"/>
      <c r="P25" s="5"/>
      <c r="Q25" s="50"/>
    </row>
    <row r="26" spans="1:17" ht="17.100000000000001" customHeight="1" x14ac:dyDescent="0.25">
      <c r="A26" s="50"/>
      <c r="B26" s="222"/>
      <c r="C26" s="182"/>
      <c r="D26" s="184"/>
      <c r="E26" s="67">
        <v>11</v>
      </c>
      <c r="F26" s="199"/>
      <c r="G26" s="43"/>
      <c r="I26" s="64"/>
      <c r="J26" s="64"/>
      <c r="K26" s="5"/>
      <c r="L26" s="5"/>
      <c r="M26" s="5"/>
      <c r="N26" s="5"/>
      <c r="O26" s="5"/>
      <c r="P26" s="5"/>
      <c r="Q26" s="50"/>
    </row>
    <row r="27" spans="1:17" ht="17.100000000000001" customHeight="1" thickBot="1" x14ac:dyDescent="0.3">
      <c r="A27" s="50"/>
      <c r="B27" s="35"/>
      <c r="C27" s="23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60"/>
    </row>
    <row r="28" spans="1:17" ht="16.5" thickTop="1" x14ac:dyDescent="0.25"/>
  </sheetData>
  <sheetProtection algorithmName="SHA-512" hashValue="H2i2dsHewIbMERCYsy64Mc8GFl1MwmEJkZuUzMdbAuqJrnso84RpRM7QieC2/qf6dIFFDd8HcrYArHb8p4QqbQ==" saltValue="qn5VSFthuQnv5VcEpkhCsg==" spinCount="100000" sheet="1" objects="1" scenarios="1"/>
  <mergeCells count="32">
    <mergeCell ref="I8:J10"/>
    <mergeCell ref="K8:P10"/>
    <mergeCell ref="B2:Q2"/>
    <mergeCell ref="H12:M14"/>
    <mergeCell ref="H20:H22"/>
    <mergeCell ref="E21:G21"/>
    <mergeCell ref="E22:G22"/>
    <mergeCell ref="L16:L18"/>
    <mergeCell ref="E20:G20"/>
    <mergeCell ref="H16:H18"/>
    <mergeCell ref="I16:I18"/>
    <mergeCell ref="J16:J18"/>
    <mergeCell ref="F12:F14"/>
    <mergeCell ref="D4:Q5"/>
    <mergeCell ref="B8:B10"/>
    <mergeCell ref="C8:C10"/>
    <mergeCell ref="D8:D10"/>
    <mergeCell ref="H8:H10"/>
    <mergeCell ref="B24:B26"/>
    <mergeCell ref="C24:C26"/>
    <mergeCell ref="D24:D26"/>
    <mergeCell ref="F24:F26"/>
    <mergeCell ref="G12:G14"/>
    <mergeCell ref="B20:B22"/>
    <mergeCell ref="C20:C22"/>
    <mergeCell ref="D20:D22"/>
    <mergeCell ref="B16:B18"/>
    <mergeCell ref="C16:C18"/>
    <mergeCell ref="D16:D18"/>
    <mergeCell ref="B12:B14"/>
    <mergeCell ref="C12:C14"/>
    <mergeCell ref="D12:D14"/>
  </mergeCells>
  <hyperlinks>
    <hyperlink ref="S2" location="'Main Page'!A1" display="Go to TOC Sheet" xr:uid="{2C9BC47A-E533-49A8-BFC4-11AC1BA1B41B}"/>
  </hyperlinks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00A7-C7D4-4A2F-9B51-11A25BDE158B}">
  <sheetPr codeName="Sheet22"/>
  <dimension ref="A1:V28"/>
  <sheetViews>
    <sheetView zoomScale="115" zoomScaleNormal="115" workbookViewId="0">
      <selection activeCell="V2" sqref="V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5.140625" style="45" bestFit="1" customWidth="1"/>
    <col min="20" max="20" width="2.7109375" style="45" customWidth="1"/>
    <col min="21" max="21" width="9.140625" style="45"/>
    <col min="22" max="22" width="19" style="45" customWidth="1"/>
    <col min="23" max="16384" width="9.140625" style="45"/>
  </cols>
  <sheetData>
    <row r="1" spans="1:22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2" ht="17.25" thickTop="1" thickBot="1" x14ac:dyDescent="0.3">
      <c r="B2" s="213" t="s">
        <v>50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5"/>
      <c r="V2" s="18" t="s">
        <v>52</v>
      </c>
    </row>
    <row r="3" spans="1:22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24.95" customHeight="1" thickTop="1" x14ac:dyDescent="0.25">
      <c r="A4" s="50"/>
      <c r="B4" s="21" t="s">
        <v>5</v>
      </c>
      <c r="C4" s="37" t="s">
        <v>81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74"/>
    </row>
    <row r="5" spans="1:22" ht="24.95" customHeight="1" thickBot="1" x14ac:dyDescent="0.3">
      <c r="A5" s="50"/>
      <c r="B5" s="22" t="s">
        <v>6</v>
      </c>
      <c r="C5" s="38" t="s">
        <v>82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205"/>
    </row>
    <row r="6" spans="1:22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2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1"/>
    </row>
    <row r="8" spans="1:22" s="53" customFormat="1" ht="17.100000000000001" customHeight="1" x14ac:dyDescent="0.25">
      <c r="A8" s="52"/>
      <c r="B8" s="181" t="str">
        <f>_xlfn.CONCAT("Matrix ","[",C4,"]")</f>
        <v>Matrix [F]</v>
      </c>
      <c r="C8" s="182" t="s">
        <v>2</v>
      </c>
      <c r="D8" s="183" t="s">
        <v>3</v>
      </c>
      <c r="E8" s="39">
        <v>1</v>
      </c>
      <c r="F8" s="39">
        <v>2</v>
      </c>
      <c r="G8" s="39">
        <v>3</v>
      </c>
      <c r="H8" s="180" t="s">
        <v>4</v>
      </c>
      <c r="I8" s="216"/>
      <c r="J8" s="216"/>
      <c r="K8" s="166" t="str">
        <f>_xlfn.CONCAT("Enter values for Matrix [",C4,"] here")</f>
        <v>Enter values for Matrix [F] here</v>
      </c>
      <c r="L8" s="167"/>
      <c r="M8" s="167"/>
      <c r="N8" s="167"/>
      <c r="O8" s="167"/>
      <c r="P8" s="168"/>
      <c r="Q8" s="66"/>
      <c r="R8" s="66"/>
      <c r="S8" s="66"/>
      <c r="T8" s="52"/>
    </row>
    <row r="9" spans="1:22" s="53" customFormat="1" ht="17.100000000000001" customHeight="1" x14ac:dyDescent="0.25">
      <c r="A9" s="52"/>
      <c r="B9" s="181"/>
      <c r="C9" s="182"/>
      <c r="D9" s="183"/>
      <c r="E9" s="39">
        <v>4</v>
      </c>
      <c r="F9" s="39">
        <v>5</v>
      </c>
      <c r="G9" s="39">
        <v>6</v>
      </c>
      <c r="H9" s="180"/>
      <c r="I9" s="216"/>
      <c r="J9" s="216"/>
      <c r="K9" s="217"/>
      <c r="L9" s="218"/>
      <c r="M9" s="218"/>
      <c r="N9" s="218"/>
      <c r="O9" s="218"/>
      <c r="P9" s="219"/>
      <c r="Q9" s="66"/>
      <c r="R9" s="66"/>
      <c r="S9" s="66"/>
      <c r="T9" s="52"/>
    </row>
    <row r="10" spans="1:22" s="53" customFormat="1" ht="17.100000000000001" customHeight="1" thickBot="1" x14ac:dyDescent="0.3">
      <c r="A10" s="52"/>
      <c r="B10" s="181"/>
      <c r="C10" s="182"/>
      <c r="D10" s="184"/>
      <c r="E10" s="39">
        <v>7</v>
      </c>
      <c r="F10" s="39">
        <v>8</v>
      </c>
      <c r="G10" s="39">
        <v>9</v>
      </c>
      <c r="H10" s="199"/>
      <c r="I10" s="216"/>
      <c r="J10" s="216"/>
      <c r="K10" s="169"/>
      <c r="L10" s="170"/>
      <c r="M10" s="170"/>
      <c r="N10" s="170"/>
      <c r="O10" s="170"/>
      <c r="P10" s="171"/>
      <c r="Q10" s="66"/>
      <c r="R10" s="66"/>
      <c r="S10" s="66"/>
      <c r="T10" s="52"/>
    </row>
    <row r="11" spans="1:22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0"/>
    </row>
    <row r="12" spans="1:22" ht="17.100000000000001" customHeight="1" x14ac:dyDescent="0.25">
      <c r="A12" s="50"/>
      <c r="B12" s="181" t="str">
        <f>_xlfn.CONCAT("Matrix ","[",C5,"]")</f>
        <v>Matrix [G]</v>
      </c>
      <c r="C12" s="182" t="s">
        <v>2</v>
      </c>
      <c r="D12" s="183" t="s">
        <v>3</v>
      </c>
      <c r="E12" s="39">
        <v>1</v>
      </c>
      <c r="F12" s="39">
        <v>2</v>
      </c>
      <c r="G12" s="180" t="s">
        <v>4</v>
      </c>
      <c r="H12" s="226"/>
      <c r="I12" s="226"/>
      <c r="J12" s="166" t="str">
        <f>_xlfn.CONCAT("Enter values for Matrix [",C5,"] here")</f>
        <v>Enter values for Matrix [G] here</v>
      </c>
      <c r="K12" s="167"/>
      <c r="L12" s="167"/>
      <c r="M12" s="167"/>
      <c r="N12" s="167"/>
      <c r="O12" s="168"/>
      <c r="Q12" s="5"/>
      <c r="R12" s="5"/>
      <c r="S12" s="5"/>
      <c r="T12" s="50"/>
    </row>
    <row r="13" spans="1:22" ht="17.100000000000001" customHeight="1" x14ac:dyDescent="0.25">
      <c r="A13" s="50"/>
      <c r="B13" s="181"/>
      <c r="C13" s="182"/>
      <c r="D13" s="183"/>
      <c r="E13" s="39">
        <v>3</v>
      </c>
      <c r="F13" s="39">
        <v>4</v>
      </c>
      <c r="G13" s="180"/>
      <c r="H13" s="226"/>
      <c r="I13" s="226"/>
      <c r="J13" s="217"/>
      <c r="K13" s="218"/>
      <c r="L13" s="218"/>
      <c r="M13" s="218"/>
      <c r="N13" s="218"/>
      <c r="O13" s="219"/>
      <c r="Q13" s="5"/>
      <c r="R13" s="5"/>
      <c r="S13" s="5"/>
      <c r="T13" s="50"/>
    </row>
    <row r="14" spans="1:22" ht="17.100000000000001" customHeight="1" thickBot="1" x14ac:dyDescent="0.3">
      <c r="A14" s="50"/>
      <c r="B14" s="181"/>
      <c r="C14" s="182"/>
      <c r="D14" s="184"/>
      <c r="E14" s="39">
        <v>5</v>
      </c>
      <c r="F14" s="39">
        <v>6</v>
      </c>
      <c r="G14" s="199"/>
      <c r="H14" s="226"/>
      <c r="I14" s="226"/>
      <c r="J14" s="169"/>
      <c r="K14" s="170"/>
      <c r="L14" s="170"/>
      <c r="M14" s="170"/>
      <c r="N14" s="170"/>
      <c r="O14" s="171"/>
      <c r="Q14" s="5"/>
      <c r="R14" s="5"/>
      <c r="S14" s="5"/>
      <c r="T14" s="50"/>
    </row>
    <row r="15" spans="1:22" ht="17.100000000000001" customHeight="1" x14ac:dyDescent="0.25">
      <c r="A15" s="50"/>
      <c r="B15" s="26"/>
      <c r="C15" s="2"/>
      <c r="D15" s="5"/>
      <c r="E15" s="54"/>
      <c r="F15" s="54"/>
      <c r="G15" s="54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0"/>
    </row>
    <row r="16" spans="1:22" ht="17.100000000000001" customHeight="1" x14ac:dyDescent="0.25">
      <c r="A16" s="50"/>
      <c r="B16" s="181" t="str">
        <f>_xlfn.CONCAT("Matrix ","[",C4,"]",_xlfn.UNICHAR(215),"[",C5,"]")</f>
        <v>Matrix [F]×[G]</v>
      </c>
      <c r="C16" s="182" t="s">
        <v>2</v>
      </c>
      <c r="D16" s="183" t="s">
        <v>3</v>
      </c>
      <c r="E16" s="28">
        <f>E8</f>
        <v>1</v>
      </c>
      <c r="F16" s="28">
        <f t="shared" ref="F16:G16" si="0">F8</f>
        <v>2</v>
      </c>
      <c r="G16" s="28">
        <f t="shared" si="0"/>
        <v>3</v>
      </c>
      <c r="H16" s="180" t="s">
        <v>4</v>
      </c>
      <c r="I16" s="187" t="str">
        <f>_xlfn.UNICHAR(215)</f>
        <v>×</v>
      </c>
      <c r="J16" s="183" t="s">
        <v>3</v>
      </c>
      <c r="K16" s="28">
        <f>E12</f>
        <v>1</v>
      </c>
      <c r="L16" s="28">
        <f t="shared" ref="L16:L18" si="1">F12</f>
        <v>2</v>
      </c>
      <c r="M16" s="180" t="s">
        <v>4</v>
      </c>
      <c r="O16" s="5"/>
      <c r="P16" s="5"/>
      <c r="Q16" s="5"/>
      <c r="R16" s="5"/>
      <c r="S16" s="5"/>
      <c r="T16" s="50"/>
    </row>
    <row r="17" spans="1:20" ht="17.100000000000001" customHeight="1" x14ac:dyDescent="0.25">
      <c r="A17" s="50"/>
      <c r="B17" s="181"/>
      <c r="C17" s="182"/>
      <c r="D17" s="183"/>
      <c r="E17" s="28">
        <f t="shared" ref="E17:G18" si="2">E9</f>
        <v>4</v>
      </c>
      <c r="F17" s="28">
        <f t="shared" si="2"/>
        <v>5</v>
      </c>
      <c r="G17" s="28">
        <f t="shared" si="2"/>
        <v>6</v>
      </c>
      <c r="H17" s="180"/>
      <c r="I17" s="187"/>
      <c r="J17" s="183"/>
      <c r="K17" s="28">
        <f t="shared" ref="K17:K18" si="3">E13</f>
        <v>3</v>
      </c>
      <c r="L17" s="28">
        <f t="shared" si="1"/>
        <v>4</v>
      </c>
      <c r="M17" s="180"/>
      <c r="O17" s="5"/>
      <c r="P17" s="5"/>
      <c r="Q17" s="5"/>
      <c r="R17" s="5"/>
      <c r="S17" s="5"/>
      <c r="T17" s="50"/>
    </row>
    <row r="18" spans="1:20" ht="17.100000000000001" customHeight="1" x14ac:dyDescent="0.25">
      <c r="A18" s="50"/>
      <c r="B18" s="181"/>
      <c r="C18" s="182"/>
      <c r="D18" s="184"/>
      <c r="E18" s="28">
        <f t="shared" si="2"/>
        <v>7</v>
      </c>
      <c r="F18" s="28">
        <f t="shared" si="2"/>
        <v>8</v>
      </c>
      <c r="G18" s="28">
        <f t="shared" si="2"/>
        <v>9</v>
      </c>
      <c r="H18" s="199"/>
      <c r="I18" s="187"/>
      <c r="J18" s="183"/>
      <c r="K18" s="28">
        <f t="shared" si="3"/>
        <v>5</v>
      </c>
      <c r="L18" s="28">
        <f t="shared" si="1"/>
        <v>6</v>
      </c>
      <c r="M18" s="180"/>
      <c r="O18" s="5"/>
      <c r="P18" s="5"/>
      <c r="Q18" s="5"/>
      <c r="R18" s="5"/>
      <c r="S18" s="5"/>
      <c r="T18" s="50"/>
    </row>
    <row r="19" spans="1:20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0"/>
    </row>
    <row r="20" spans="1:20" ht="17.100000000000001" customHeight="1" x14ac:dyDescent="0.25">
      <c r="A20" s="50"/>
      <c r="B20" s="181" t="str">
        <f>B16</f>
        <v>Matrix [F]×[G]</v>
      </c>
      <c r="C20" s="182" t="s">
        <v>2</v>
      </c>
      <c r="D20" s="183" t="s">
        <v>3</v>
      </c>
      <c r="E20" s="224" t="str">
        <f>_xlfn.CONCAT("(",E16,_xlfn.UNICHAR(215),K16,") + (",F16,_xlfn.UNICHAR(215),K17,") + (",G16,_xlfn.UNICHAR(215),K18,")")</f>
        <v>(1×1) + (2×3) + (3×5)</v>
      </c>
      <c r="F20" s="224"/>
      <c r="G20" s="224"/>
      <c r="H20" s="5"/>
      <c r="I20" s="206" t="str">
        <f>_xlfn.CONCAT("(",E16,_xlfn.UNICHAR(215),L16,") + (",F16,_xlfn.UNICHAR(215),L17,") + (",G16,_xlfn.UNICHAR(215),L18,")")</f>
        <v>(1×2) + (2×4) + (3×6)</v>
      </c>
      <c r="J20" s="206"/>
      <c r="K20" s="206"/>
      <c r="L20" s="206"/>
      <c r="M20" s="208" t="s">
        <v>4</v>
      </c>
      <c r="N20" s="207"/>
      <c r="O20" s="207"/>
      <c r="P20" s="207"/>
      <c r="Q20" s="207"/>
      <c r="R20" s="207"/>
      <c r="T20" s="50"/>
    </row>
    <row r="21" spans="1:20" ht="17.100000000000001" customHeight="1" x14ac:dyDescent="0.25">
      <c r="A21" s="50"/>
      <c r="B21" s="181"/>
      <c r="C21" s="182"/>
      <c r="D21" s="183"/>
      <c r="E21" s="225" t="str">
        <f>_xlfn.CONCAT("(",E17,_xlfn.UNICHAR(215),K16,") + (",F17,_xlfn.UNICHAR(215),K17,") + (",G17,_xlfn.UNICHAR(215),K18,")")</f>
        <v>(4×1) + (5×3) + (6×5)</v>
      </c>
      <c r="F21" s="225"/>
      <c r="G21" s="225"/>
      <c r="H21" s="5"/>
      <c r="I21" s="209" t="str">
        <f>_xlfn.CONCAT("(",E17,_xlfn.UNICHAR(215),L16,") + (",F17,_xlfn.UNICHAR(215),L17,") + (",G17,_xlfn.UNICHAR(215),L18,")")</f>
        <v>(4×2) + (5×4) + (6×6)</v>
      </c>
      <c r="J21" s="209"/>
      <c r="K21" s="209"/>
      <c r="L21" s="209"/>
      <c r="M21" s="208"/>
      <c r="N21" s="210"/>
      <c r="O21" s="210"/>
      <c r="P21" s="210"/>
      <c r="Q21" s="210"/>
      <c r="R21" s="210"/>
      <c r="T21" s="50"/>
    </row>
    <row r="22" spans="1:20" ht="17.100000000000001" customHeight="1" x14ac:dyDescent="0.25">
      <c r="A22" s="50"/>
      <c r="B22" s="181"/>
      <c r="C22" s="182"/>
      <c r="D22" s="184"/>
      <c r="E22" s="227" t="str">
        <f>_xlfn.CONCAT("(",E18,_xlfn.UNICHAR(215),K16,") + (",F18,_xlfn.UNICHAR(215),K17,") + (",G18,_xlfn.UNICHAR(215),K18,")")</f>
        <v>(7×1) + (8×3) + (9×5)</v>
      </c>
      <c r="F22" s="227"/>
      <c r="G22" s="227"/>
      <c r="H22" s="5"/>
      <c r="I22" s="211" t="str">
        <f>_xlfn.CONCAT("(",E18,_xlfn.UNICHAR(215),L16,") + (",F18,_xlfn.UNICHAR(215),L17,") + (",G18,_xlfn.UNICHAR(215),L18,")")</f>
        <v>(7×2) + (8×4) + (9×6)</v>
      </c>
      <c r="J22" s="211"/>
      <c r="K22" s="211"/>
      <c r="L22" s="211"/>
      <c r="M22" s="208"/>
      <c r="N22" s="212"/>
      <c r="O22" s="212"/>
      <c r="P22" s="212"/>
      <c r="Q22" s="212"/>
      <c r="R22" s="212"/>
      <c r="T22" s="50"/>
    </row>
    <row r="23" spans="1:20" ht="17.100000000000001" customHeight="1" x14ac:dyDescent="0.25">
      <c r="A23" s="50"/>
      <c r="B23" s="26"/>
      <c r="C23" s="2"/>
      <c r="D23" s="5"/>
      <c r="E23" s="54"/>
      <c r="F23" s="54"/>
      <c r="G23" s="54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0"/>
    </row>
    <row r="24" spans="1:20" ht="17.100000000000001" customHeight="1" x14ac:dyDescent="0.25">
      <c r="A24" s="50"/>
      <c r="B24" s="222" t="str">
        <f>B16</f>
        <v>Matrix [F]×[G]</v>
      </c>
      <c r="C24" s="182" t="s">
        <v>2</v>
      </c>
      <c r="D24" s="183" t="s">
        <v>3</v>
      </c>
      <c r="E24" s="34">
        <f t="array" ref="E24:F26">MMULT(E16:G18,K16:L18)</f>
        <v>22</v>
      </c>
      <c r="F24" s="44">
        <v>28</v>
      </c>
      <c r="G24" s="180" t="s">
        <v>4</v>
      </c>
      <c r="I24" s="31"/>
      <c r="J24" s="31"/>
      <c r="K24" s="5"/>
      <c r="L24" s="5"/>
      <c r="M24" s="5"/>
      <c r="N24" s="5"/>
      <c r="O24" s="5"/>
      <c r="P24" s="5"/>
      <c r="Q24" s="5"/>
      <c r="R24" s="5"/>
      <c r="S24" s="5"/>
      <c r="T24" s="50"/>
    </row>
    <row r="25" spans="1:20" ht="17.100000000000001" customHeight="1" x14ac:dyDescent="0.25">
      <c r="A25" s="50"/>
      <c r="B25" s="222"/>
      <c r="C25" s="182"/>
      <c r="D25" s="183"/>
      <c r="E25" s="40">
        <v>49</v>
      </c>
      <c r="F25" s="69">
        <v>64</v>
      </c>
      <c r="G25" s="180"/>
      <c r="I25" s="31"/>
      <c r="J25" s="31"/>
      <c r="K25" s="5"/>
      <c r="L25" s="5"/>
      <c r="M25" s="5"/>
      <c r="N25" s="5"/>
      <c r="O25" s="5"/>
      <c r="P25" s="5"/>
      <c r="Q25" s="5"/>
      <c r="R25" s="5"/>
      <c r="S25" s="5"/>
      <c r="T25" s="50"/>
    </row>
    <row r="26" spans="1:20" ht="17.100000000000001" customHeight="1" x14ac:dyDescent="0.25">
      <c r="A26" s="50"/>
      <c r="B26" s="222"/>
      <c r="C26" s="182"/>
      <c r="D26" s="184"/>
      <c r="E26" s="67">
        <v>76</v>
      </c>
      <c r="F26" s="79">
        <v>100</v>
      </c>
      <c r="G26" s="199"/>
      <c r="I26" s="64"/>
      <c r="J26" s="64"/>
      <c r="K26" s="5"/>
      <c r="L26" s="5"/>
      <c r="M26" s="5"/>
      <c r="N26" s="5"/>
      <c r="O26" s="5"/>
      <c r="P26" s="5"/>
      <c r="Q26" s="5"/>
      <c r="R26" s="5"/>
      <c r="S26" s="5"/>
      <c r="T26" s="50"/>
    </row>
    <row r="27" spans="1:20" ht="17.100000000000001" customHeight="1" thickBot="1" x14ac:dyDescent="0.3">
      <c r="A27" s="50"/>
      <c r="B27" s="35"/>
      <c r="C27" s="23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60"/>
    </row>
    <row r="28" spans="1:20" ht="16.5" thickTop="1" x14ac:dyDescent="0.25">
      <c r="R28" s="5"/>
      <c r="S28" s="5"/>
    </row>
  </sheetData>
  <sheetProtection algorithmName="SHA-512" hashValue="q8+Pev++8GBh5qW+ZJGSHzHQA3kwyCcYCiuBzBtc5lpcpuq5LTmh/aKilsFxzH9yV1mkuikx3qyh1XYymD+Xpg==" saltValue="+8tI6WzUJtnJvwoKYk6KqA==" spinCount="100000" sheet="1" objects="1" scenarios="1"/>
  <mergeCells count="38">
    <mergeCell ref="B8:B10"/>
    <mergeCell ref="C8:C10"/>
    <mergeCell ref="D8:D10"/>
    <mergeCell ref="H8:H10"/>
    <mergeCell ref="I8:J10"/>
    <mergeCell ref="N20:R20"/>
    <mergeCell ref="H16:H18"/>
    <mergeCell ref="I16:I18"/>
    <mergeCell ref="J16:J18"/>
    <mergeCell ref="D4:T5"/>
    <mergeCell ref="K8:P10"/>
    <mergeCell ref="H12:I14"/>
    <mergeCell ref="B24:B26"/>
    <mergeCell ref="C24:C26"/>
    <mergeCell ref="D24:D26"/>
    <mergeCell ref="G24:G26"/>
    <mergeCell ref="B2:T2"/>
    <mergeCell ref="J12:O14"/>
    <mergeCell ref="M20:M22"/>
    <mergeCell ref="E21:G21"/>
    <mergeCell ref="I21:L21"/>
    <mergeCell ref="N21:R21"/>
    <mergeCell ref="E22:G22"/>
    <mergeCell ref="I22:L22"/>
    <mergeCell ref="N22:R22"/>
    <mergeCell ref="M16:M18"/>
    <mergeCell ref="E20:G20"/>
    <mergeCell ref="I20:L20"/>
    <mergeCell ref="B12:B14"/>
    <mergeCell ref="C12:C14"/>
    <mergeCell ref="D12:D14"/>
    <mergeCell ref="G12:G14"/>
    <mergeCell ref="B20:B22"/>
    <mergeCell ref="C20:C22"/>
    <mergeCell ref="D20:D22"/>
    <mergeCell ref="B16:B18"/>
    <mergeCell ref="C16:C18"/>
    <mergeCell ref="D16:D18"/>
  </mergeCells>
  <hyperlinks>
    <hyperlink ref="V2" location="'Main Page'!A1" display="Go to TOC Sheet" xr:uid="{8AD39C52-A8DF-4E8A-A08A-1138D864A0D0}"/>
  </hyperlinks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265FD-E761-4A06-872C-B13B45B05F30}">
  <sheetPr codeName="Sheet23"/>
  <dimension ref="A1:V28"/>
  <sheetViews>
    <sheetView zoomScale="115" zoomScaleNormal="115" workbookViewId="0">
      <selection activeCell="V2" sqref="V2"/>
    </sheetView>
  </sheetViews>
  <sheetFormatPr defaultRowHeight="15.75" x14ac:dyDescent="0.25"/>
  <cols>
    <col min="1" max="1" width="9.140625" style="45"/>
    <col min="2" max="2" width="27.7109375" style="61" customWidth="1"/>
    <col min="3" max="3" width="9.140625" style="16"/>
    <col min="4" max="4" width="4.5703125" style="45" bestFit="1" customWidth="1"/>
    <col min="5" max="7" width="7.7109375" style="45" customWidth="1"/>
    <col min="8" max="10" width="3.7109375" style="45" customWidth="1"/>
    <col min="11" max="13" width="7.7109375" style="45" customWidth="1"/>
    <col min="14" max="14" width="2.7109375" style="45" customWidth="1"/>
    <col min="15" max="15" width="6.7109375" style="45" customWidth="1"/>
    <col min="16" max="16" width="5.140625" style="45" bestFit="1" customWidth="1"/>
    <col min="17" max="17" width="2.7109375" style="45" customWidth="1"/>
    <col min="18" max="18" width="9.140625" style="45"/>
    <col min="19" max="19" width="5.140625" style="45" bestFit="1" customWidth="1"/>
    <col min="20" max="20" width="2.7109375" style="45" customWidth="1"/>
    <col min="21" max="21" width="9.140625" style="45"/>
    <col min="22" max="22" width="19" style="45" customWidth="1"/>
    <col min="23" max="16384" width="9.140625" style="45"/>
  </cols>
  <sheetData>
    <row r="1" spans="1:22" ht="16.5" thickBot="1" x14ac:dyDescent="0.3">
      <c r="B1" s="46"/>
      <c r="C1" s="23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2" ht="17.25" thickTop="1" thickBot="1" x14ac:dyDescent="0.3">
      <c r="B2" s="213" t="s">
        <v>9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5"/>
      <c r="V2" s="18" t="s">
        <v>52</v>
      </c>
    </row>
    <row r="3" spans="1:22" ht="17.25" thickTop="1" thickBot="1" x14ac:dyDescent="0.3">
      <c r="B3" s="48"/>
      <c r="C3" s="1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24.95" customHeight="1" thickTop="1" x14ac:dyDescent="0.25">
      <c r="A4" s="50"/>
      <c r="B4" s="21" t="s">
        <v>5</v>
      </c>
      <c r="C4" s="37" t="s">
        <v>0</v>
      </c>
      <c r="D4" s="177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74"/>
    </row>
    <row r="5" spans="1:22" ht="24.95" customHeight="1" thickBot="1" x14ac:dyDescent="0.3">
      <c r="A5" s="50"/>
      <c r="B5" s="22" t="s">
        <v>6</v>
      </c>
      <c r="C5" s="38" t="s">
        <v>1</v>
      </c>
      <c r="D5" s="204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205"/>
    </row>
    <row r="6" spans="1:22" ht="17.25" thickTop="1" thickBot="1" x14ac:dyDescent="0.3">
      <c r="B6" s="46"/>
      <c r="C6" s="1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</row>
    <row r="7" spans="1:22" ht="17.100000000000001" customHeight="1" thickTop="1" thickBot="1" x14ac:dyDescent="0.3">
      <c r="A7" s="50"/>
      <c r="B7" s="24"/>
      <c r="C7" s="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1"/>
    </row>
    <row r="8" spans="1:22" s="53" customFormat="1" ht="17.100000000000001" customHeight="1" x14ac:dyDescent="0.25">
      <c r="A8" s="52"/>
      <c r="B8" s="181" t="str">
        <f>_xlfn.CONCAT("Matrix ","[",C4,"]")</f>
        <v>Matrix [A]</v>
      </c>
      <c r="C8" s="182" t="s">
        <v>2</v>
      </c>
      <c r="D8" s="183" t="s">
        <v>3</v>
      </c>
      <c r="E8" s="39">
        <v>1</v>
      </c>
      <c r="F8" s="39">
        <v>2</v>
      </c>
      <c r="G8" s="39">
        <v>3</v>
      </c>
      <c r="H8" s="180" t="s">
        <v>4</v>
      </c>
      <c r="I8" s="216"/>
      <c r="J8" s="216"/>
      <c r="K8" s="166" t="str">
        <f>_xlfn.CONCAT("Enter values for Matrix [",C4,"] here")</f>
        <v>Enter values for Matrix [A] here</v>
      </c>
      <c r="L8" s="167"/>
      <c r="M8" s="167"/>
      <c r="N8" s="167"/>
      <c r="O8" s="167"/>
      <c r="P8" s="168"/>
      <c r="Q8" s="66"/>
      <c r="R8" s="66"/>
      <c r="S8" s="66"/>
      <c r="T8" s="52"/>
    </row>
    <row r="9" spans="1:22" s="53" customFormat="1" ht="17.100000000000001" customHeight="1" x14ac:dyDescent="0.25">
      <c r="A9" s="52"/>
      <c r="B9" s="181"/>
      <c r="C9" s="182"/>
      <c r="D9" s="183"/>
      <c r="E9" s="39">
        <v>4</v>
      </c>
      <c r="F9" s="39">
        <v>5</v>
      </c>
      <c r="G9" s="39">
        <v>6</v>
      </c>
      <c r="H9" s="180"/>
      <c r="I9" s="216"/>
      <c r="J9" s="216"/>
      <c r="K9" s="217"/>
      <c r="L9" s="218"/>
      <c r="M9" s="218"/>
      <c r="N9" s="218"/>
      <c r="O9" s="218"/>
      <c r="P9" s="219"/>
      <c r="Q9" s="66"/>
      <c r="R9" s="66"/>
      <c r="S9" s="66"/>
      <c r="T9" s="52"/>
    </row>
    <row r="10" spans="1:22" s="53" customFormat="1" ht="17.100000000000001" customHeight="1" thickBot="1" x14ac:dyDescent="0.3">
      <c r="A10" s="52"/>
      <c r="B10" s="181"/>
      <c r="C10" s="182"/>
      <c r="D10" s="184"/>
      <c r="E10" s="39">
        <v>7</v>
      </c>
      <c r="F10" s="39">
        <v>8</v>
      </c>
      <c r="G10" s="39">
        <v>9</v>
      </c>
      <c r="H10" s="199"/>
      <c r="I10" s="216"/>
      <c r="J10" s="216"/>
      <c r="K10" s="169"/>
      <c r="L10" s="170"/>
      <c r="M10" s="170"/>
      <c r="N10" s="170"/>
      <c r="O10" s="170"/>
      <c r="P10" s="171"/>
      <c r="Q10" s="66"/>
      <c r="R10" s="66"/>
      <c r="S10" s="66"/>
      <c r="T10" s="52"/>
    </row>
    <row r="11" spans="1:22" ht="17.100000000000001" customHeight="1" thickBot="1" x14ac:dyDescent="0.3">
      <c r="A11" s="50"/>
      <c r="B11" s="26"/>
      <c r="C11" s="2"/>
      <c r="D11" s="5"/>
      <c r="E11" s="54"/>
      <c r="F11" s="54"/>
      <c r="G11" s="54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0"/>
    </row>
    <row r="12" spans="1:22" ht="17.100000000000001" customHeight="1" x14ac:dyDescent="0.25">
      <c r="A12" s="50"/>
      <c r="B12" s="181" t="str">
        <f>_xlfn.CONCAT("Matrix ","[",C5,"]")</f>
        <v>Matrix [B]</v>
      </c>
      <c r="C12" s="182" t="s">
        <v>2</v>
      </c>
      <c r="D12" s="183" t="s">
        <v>3</v>
      </c>
      <c r="E12" s="39">
        <v>1</v>
      </c>
      <c r="F12" s="39">
        <v>2</v>
      </c>
      <c r="G12" s="39">
        <v>3</v>
      </c>
      <c r="H12" s="180" t="s">
        <v>4</v>
      </c>
      <c r="I12" s="216"/>
      <c r="J12" s="216"/>
      <c r="K12" s="166" t="str">
        <f>_xlfn.CONCAT("Enter values for Matrix [",C5,"] here")</f>
        <v>Enter values for Matrix [B] here</v>
      </c>
      <c r="L12" s="167"/>
      <c r="M12" s="167"/>
      <c r="N12" s="167"/>
      <c r="O12" s="167"/>
      <c r="P12" s="168"/>
      <c r="Q12" s="5"/>
      <c r="R12" s="5"/>
      <c r="S12" s="5"/>
      <c r="T12" s="50"/>
    </row>
    <row r="13" spans="1:22" ht="17.100000000000001" customHeight="1" x14ac:dyDescent="0.25">
      <c r="A13" s="50"/>
      <c r="B13" s="181"/>
      <c r="C13" s="182"/>
      <c r="D13" s="183"/>
      <c r="E13" s="39">
        <v>4</v>
      </c>
      <c r="F13" s="39">
        <v>5</v>
      </c>
      <c r="G13" s="39">
        <v>6</v>
      </c>
      <c r="H13" s="180"/>
      <c r="I13" s="216"/>
      <c r="J13" s="216"/>
      <c r="K13" s="217"/>
      <c r="L13" s="218"/>
      <c r="M13" s="218"/>
      <c r="N13" s="218"/>
      <c r="O13" s="218"/>
      <c r="P13" s="219"/>
      <c r="Q13" s="5"/>
      <c r="R13" s="5"/>
      <c r="S13" s="5"/>
      <c r="T13" s="50"/>
    </row>
    <row r="14" spans="1:22" ht="17.100000000000001" customHeight="1" thickBot="1" x14ac:dyDescent="0.3">
      <c r="A14" s="50"/>
      <c r="B14" s="181"/>
      <c r="C14" s="182"/>
      <c r="D14" s="184"/>
      <c r="E14" s="39">
        <v>7</v>
      </c>
      <c r="F14" s="39">
        <v>8</v>
      </c>
      <c r="G14" s="39">
        <v>9</v>
      </c>
      <c r="H14" s="199"/>
      <c r="I14" s="216"/>
      <c r="J14" s="216"/>
      <c r="K14" s="169"/>
      <c r="L14" s="170"/>
      <c r="M14" s="170"/>
      <c r="N14" s="170"/>
      <c r="O14" s="170"/>
      <c r="P14" s="171"/>
      <c r="Q14" s="5"/>
      <c r="R14" s="5"/>
      <c r="S14" s="5"/>
      <c r="T14" s="50"/>
    </row>
    <row r="15" spans="1:22" ht="17.100000000000001" customHeight="1" x14ac:dyDescent="0.25">
      <c r="A15" s="50"/>
      <c r="B15" s="26"/>
      <c r="C15" s="2"/>
      <c r="D15" s="5"/>
      <c r="E15" s="54"/>
      <c r="F15" s="54"/>
      <c r="G15" s="54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0"/>
    </row>
    <row r="16" spans="1:22" ht="17.100000000000001" customHeight="1" x14ac:dyDescent="0.25">
      <c r="A16" s="50"/>
      <c r="B16" s="181" t="str">
        <f>_xlfn.CONCAT("Matrix ","[",C4,"]",_xlfn.UNICHAR(215),"[",C5,"]")</f>
        <v>Matrix [A]×[B]</v>
      </c>
      <c r="C16" s="182" t="s">
        <v>2</v>
      </c>
      <c r="D16" s="183" t="s">
        <v>3</v>
      </c>
      <c r="E16" s="28">
        <f>E8</f>
        <v>1</v>
      </c>
      <c r="F16" s="28">
        <f t="shared" ref="F16:G16" si="0">F8</f>
        <v>2</v>
      </c>
      <c r="G16" s="28">
        <f t="shared" si="0"/>
        <v>3</v>
      </c>
      <c r="H16" s="180" t="s">
        <v>4</v>
      </c>
      <c r="I16" s="187" t="str">
        <f>_xlfn.UNICHAR(215)</f>
        <v>×</v>
      </c>
      <c r="J16" s="183" t="s">
        <v>3</v>
      </c>
      <c r="K16" s="28">
        <f>E12</f>
        <v>1</v>
      </c>
      <c r="L16" s="28">
        <f t="shared" ref="L16:M18" si="1">F12</f>
        <v>2</v>
      </c>
      <c r="M16" s="28">
        <f t="shared" si="1"/>
        <v>3</v>
      </c>
      <c r="N16" s="180" t="s">
        <v>4</v>
      </c>
      <c r="O16" s="5"/>
      <c r="P16" s="5"/>
      <c r="Q16" s="5"/>
      <c r="R16" s="5"/>
      <c r="S16" s="5"/>
      <c r="T16" s="50"/>
    </row>
    <row r="17" spans="1:20" ht="17.100000000000001" customHeight="1" x14ac:dyDescent="0.25">
      <c r="A17" s="50"/>
      <c r="B17" s="181"/>
      <c r="C17" s="182"/>
      <c r="D17" s="183"/>
      <c r="E17" s="28">
        <f t="shared" ref="E17:G18" si="2">E9</f>
        <v>4</v>
      </c>
      <c r="F17" s="28">
        <f t="shared" si="2"/>
        <v>5</v>
      </c>
      <c r="G17" s="28">
        <f t="shared" si="2"/>
        <v>6</v>
      </c>
      <c r="H17" s="180"/>
      <c r="I17" s="187"/>
      <c r="J17" s="183"/>
      <c r="K17" s="28">
        <f t="shared" ref="K17:K18" si="3">E13</f>
        <v>4</v>
      </c>
      <c r="L17" s="28">
        <f t="shared" si="1"/>
        <v>5</v>
      </c>
      <c r="M17" s="28">
        <f t="shared" si="1"/>
        <v>6</v>
      </c>
      <c r="N17" s="180"/>
      <c r="O17" s="5"/>
      <c r="P17" s="5"/>
      <c r="Q17" s="5"/>
      <c r="R17" s="5"/>
      <c r="S17" s="5"/>
      <c r="T17" s="50"/>
    </row>
    <row r="18" spans="1:20" ht="17.100000000000001" customHeight="1" x14ac:dyDescent="0.25">
      <c r="A18" s="50"/>
      <c r="B18" s="181"/>
      <c r="C18" s="182"/>
      <c r="D18" s="184"/>
      <c r="E18" s="28">
        <f t="shared" si="2"/>
        <v>7</v>
      </c>
      <c r="F18" s="28">
        <f t="shared" si="2"/>
        <v>8</v>
      </c>
      <c r="G18" s="28">
        <f t="shared" si="2"/>
        <v>9</v>
      </c>
      <c r="H18" s="199"/>
      <c r="I18" s="187"/>
      <c r="J18" s="183"/>
      <c r="K18" s="28">
        <f t="shared" si="3"/>
        <v>7</v>
      </c>
      <c r="L18" s="28">
        <f t="shared" si="1"/>
        <v>8</v>
      </c>
      <c r="M18" s="28">
        <f t="shared" si="1"/>
        <v>9</v>
      </c>
      <c r="N18" s="180"/>
      <c r="O18" s="5"/>
      <c r="P18" s="5"/>
      <c r="Q18" s="5"/>
      <c r="R18" s="5"/>
      <c r="S18" s="5"/>
      <c r="T18" s="50"/>
    </row>
    <row r="19" spans="1:20" ht="17.100000000000001" customHeight="1" x14ac:dyDescent="0.25">
      <c r="A19" s="50"/>
      <c r="B19" s="26"/>
      <c r="C19" s="2"/>
      <c r="D19" s="5"/>
      <c r="E19" s="54"/>
      <c r="F19" s="54"/>
      <c r="G19" s="54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0"/>
    </row>
    <row r="20" spans="1:20" ht="17.100000000000001" customHeight="1" x14ac:dyDescent="0.25">
      <c r="A20" s="50"/>
      <c r="B20" s="181" t="str">
        <f>B16</f>
        <v>Matrix [A]×[B]</v>
      </c>
      <c r="C20" s="182" t="s">
        <v>2</v>
      </c>
      <c r="D20" s="183" t="s">
        <v>3</v>
      </c>
      <c r="E20" s="224" t="str">
        <f>_xlfn.CONCAT("(",E16,_xlfn.UNICHAR(215),K16,") + (",F16,_xlfn.UNICHAR(215),K17,") + (",G16,_xlfn.UNICHAR(215),K18,")")</f>
        <v>(1×1) + (2×4) + (3×7)</v>
      </c>
      <c r="F20" s="224"/>
      <c r="G20" s="224"/>
      <c r="H20" s="5"/>
      <c r="I20" s="206" t="str">
        <f>_xlfn.CONCAT("(",E16,_xlfn.UNICHAR(215),L16,") + (",F16,_xlfn.UNICHAR(215),L17,") + (",G16,_xlfn.UNICHAR(215),L18,")")</f>
        <v>(1×2) + (2×5) + (3×8)</v>
      </c>
      <c r="J20" s="206"/>
      <c r="K20" s="206"/>
      <c r="L20" s="206"/>
      <c r="M20" s="57"/>
      <c r="N20" s="207" t="str">
        <f>_xlfn.CONCAT("(",E16,_xlfn.UNICHAR(215),M16,") + (",F16,_xlfn.UNICHAR(215),M17,") + (",G16,_xlfn.UNICHAR(215),M18,")")</f>
        <v>(1×3) + (2×6) + (3×9)</v>
      </c>
      <c r="O20" s="207"/>
      <c r="P20" s="207"/>
      <c r="Q20" s="207"/>
      <c r="R20" s="207"/>
      <c r="S20" s="208" t="s">
        <v>4</v>
      </c>
      <c r="T20" s="50"/>
    </row>
    <row r="21" spans="1:20" ht="17.100000000000001" customHeight="1" x14ac:dyDescent="0.25">
      <c r="A21" s="50"/>
      <c r="B21" s="181"/>
      <c r="C21" s="182"/>
      <c r="D21" s="183"/>
      <c r="E21" s="225" t="str">
        <f>_xlfn.CONCAT("(",E17,_xlfn.UNICHAR(215),K16,") + (",F17,_xlfn.UNICHAR(215),K17,") + (",G17,_xlfn.UNICHAR(215),K18,")")</f>
        <v>(4×1) + (5×4) + (6×7)</v>
      </c>
      <c r="F21" s="225"/>
      <c r="G21" s="225"/>
      <c r="H21" s="5"/>
      <c r="I21" s="209" t="str">
        <f>_xlfn.CONCAT("(",E17,_xlfn.UNICHAR(215),L16,") + (",F17,_xlfn.UNICHAR(215),L17,") + (",G17,_xlfn.UNICHAR(215),L18,")")</f>
        <v>(4×2) + (5×5) + (6×8)</v>
      </c>
      <c r="J21" s="209"/>
      <c r="K21" s="209"/>
      <c r="L21" s="209"/>
      <c r="M21" s="57"/>
      <c r="N21" s="210" t="str">
        <f>_xlfn.CONCAT("(",E17,_xlfn.UNICHAR(215),M16,") + (",F17,_xlfn.UNICHAR(215),M17,") + (",G17,_xlfn.UNICHAR(215),M18,")")</f>
        <v>(4×3) + (5×6) + (6×9)</v>
      </c>
      <c r="O21" s="210"/>
      <c r="P21" s="210"/>
      <c r="Q21" s="210"/>
      <c r="R21" s="210"/>
      <c r="S21" s="208"/>
      <c r="T21" s="50"/>
    </row>
    <row r="22" spans="1:20" ht="17.100000000000001" customHeight="1" x14ac:dyDescent="0.25">
      <c r="A22" s="50"/>
      <c r="B22" s="181"/>
      <c r="C22" s="182"/>
      <c r="D22" s="184"/>
      <c r="E22" s="227" t="str">
        <f>_xlfn.CONCAT("(",E18,_xlfn.UNICHAR(215),K16,") + (",F18,_xlfn.UNICHAR(215),K17,") + (",G18,_xlfn.UNICHAR(215),K18,")")</f>
        <v>(7×1) + (8×4) + (9×7)</v>
      </c>
      <c r="F22" s="227"/>
      <c r="G22" s="227"/>
      <c r="H22" s="5"/>
      <c r="I22" s="211" t="str">
        <f>_xlfn.CONCAT("(",E18,_xlfn.UNICHAR(215),L16,") + (",F18,_xlfn.UNICHAR(215),L17,") + (",G18,_xlfn.UNICHAR(215),L18,")")</f>
        <v>(7×2) + (8×5) + (9×8)</v>
      </c>
      <c r="J22" s="211"/>
      <c r="K22" s="211"/>
      <c r="L22" s="211"/>
      <c r="M22" s="57"/>
      <c r="N22" s="212" t="str">
        <f>_xlfn.CONCAT("(",E18,_xlfn.UNICHAR(215),M16,") + (",F18,_xlfn.UNICHAR(215),M17,") + (",G18,_xlfn.UNICHAR(215),M18,")")</f>
        <v>(7×3) + (8×6) + (9×9)</v>
      </c>
      <c r="O22" s="212"/>
      <c r="P22" s="212"/>
      <c r="Q22" s="212"/>
      <c r="R22" s="212"/>
      <c r="S22" s="208"/>
      <c r="T22" s="50"/>
    </row>
    <row r="23" spans="1:20" ht="17.100000000000001" customHeight="1" x14ac:dyDescent="0.25">
      <c r="A23" s="50"/>
      <c r="B23" s="26"/>
      <c r="C23" s="2"/>
      <c r="D23" s="5"/>
      <c r="E23" s="54"/>
      <c r="F23" s="54"/>
      <c r="G23" s="54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0"/>
    </row>
    <row r="24" spans="1:20" ht="17.100000000000001" customHeight="1" x14ac:dyDescent="0.25">
      <c r="A24" s="50"/>
      <c r="B24" s="222" t="str">
        <f>B16</f>
        <v>Matrix [A]×[B]</v>
      </c>
      <c r="C24" s="182" t="s">
        <v>2</v>
      </c>
      <c r="D24" s="183" t="s">
        <v>3</v>
      </c>
      <c r="E24" s="34">
        <f t="array" ref="E24:G26">MMULT(E16:G18,K16:M18)</f>
        <v>30</v>
      </c>
      <c r="F24" s="44">
        <v>36</v>
      </c>
      <c r="G24" s="41">
        <v>42</v>
      </c>
      <c r="H24" s="180" t="s">
        <v>4</v>
      </c>
      <c r="I24" s="31"/>
      <c r="J24" s="31"/>
      <c r="K24" s="5"/>
      <c r="L24" s="5"/>
      <c r="M24" s="5"/>
      <c r="N24" s="5"/>
      <c r="O24" s="5"/>
      <c r="P24" s="5"/>
      <c r="Q24" s="5"/>
      <c r="R24" s="5"/>
      <c r="S24" s="5"/>
      <c r="T24" s="50"/>
    </row>
    <row r="25" spans="1:20" ht="17.100000000000001" customHeight="1" x14ac:dyDescent="0.25">
      <c r="A25" s="50"/>
      <c r="B25" s="222"/>
      <c r="C25" s="182"/>
      <c r="D25" s="183"/>
      <c r="E25" s="40">
        <v>66</v>
      </c>
      <c r="F25" s="69">
        <v>81</v>
      </c>
      <c r="G25" s="42">
        <v>96</v>
      </c>
      <c r="H25" s="180"/>
      <c r="I25" s="31"/>
      <c r="J25" s="31"/>
      <c r="K25" s="5"/>
      <c r="L25" s="5"/>
      <c r="M25" s="5"/>
      <c r="N25" s="5"/>
      <c r="O25" s="5"/>
      <c r="P25" s="5"/>
      <c r="Q25" s="5"/>
      <c r="R25" s="5"/>
      <c r="S25" s="5"/>
      <c r="T25" s="50"/>
    </row>
    <row r="26" spans="1:20" ht="17.100000000000001" customHeight="1" x14ac:dyDescent="0.25">
      <c r="A26" s="50"/>
      <c r="B26" s="222"/>
      <c r="C26" s="182"/>
      <c r="D26" s="184"/>
      <c r="E26" s="67">
        <v>102</v>
      </c>
      <c r="F26" s="79">
        <v>126</v>
      </c>
      <c r="G26" s="43">
        <v>150</v>
      </c>
      <c r="H26" s="199"/>
      <c r="I26" s="64"/>
      <c r="J26" s="64"/>
      <c r="K26" s="5"/>
      <c r="L26" s="5"/>
      <c r="M26" s="5"/>
      <c r="N26" s="5"/>
      <c r="O26" s="5"/>
      <c r="P26" s="5"/>
      <c r="Q26" s="5"/>
      <c r="R26" s="5"/>
      <c r="S26" s="5"/>
      <c r="T26" s="50"/>
    </row>
    <row r="27" spans="1:20" ht="17.100000000000001" customHeight="1" thickBot="1" x14ac:dyDescent="0.3">
      <c r="A27" s="50"/>
      <c r="B27" s="35"/>
      <c r="C27" s="23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60"/>
    </row>
    <row r="28" spans="1:20" ht="16.5" thickTop="1" x14ac:dyDescent="0.25">
      <c r="R28" s="5"/>
      <c r="S28" s="5"/>
    </row>
  </sheetData>
  <sheetProtection algorithmName="SHA-512" hashValue="nyRSa5fl0jyoKGZz2uwQD5a1cnqrZ73cTT0A/YccbZ4jkKySONMu9anavLGtHKlm6Dgb7fAQ9cBRiWlqpGf2NA==" saltValue="gtiza4Z99wcnpmJH3mLXzQ==" spinCount="100000" sheet="1" objects="1" scenarios="1"/>
  <mergeCells count="38">
    <mergeCell ref="B2:T2"/>
    <mergeCell ref="K12:P14"/>
    <mergeCell ref="D4:T5"/>
    <mergeCell ref="B8:B10"/>
    <mergeCell ref="C8:C10"/>
    <mergeCell ref="D8:D10"/>
    <mergeCell ref="H8:H10"/>
    <mergeCell ref="I8:J10"/>
    <mergeCell ref="K8:P10"/>
    <mergeCell ref="B12:B14"/>
    <mergeCell ref="C12:C14"/>
    <mergeCell ref="D12:D14"/>
    <mergeCell ref="H12:H14"/>
    <mergeCell ref="I12:J14"/>
    <mergeCell ref="N16:N18"/>
    <mergeCell ref="B20:B22"/>
    <mergeCell ref="C20:C22"/>
    <mergeCell ref="D20:D22"/>
    <mergeCell ref="E20:G20"/>
    <mergeCell ref="I20:L20"/>
    <mergeCell ref="N20:R20"/>
    <mergeCell ref="B16:B18"/>
    <mergeCell ref="C16:C18"/>
    <mergeCell ref="D16:D18"/>
    <mergeCell ref="H16:H18"/>
    <mergeCell ref="I16:I18"/>
    <mergeCell ref="J16:J18"/>
    <mergeCell ref="B24:B26"/>
    <mergeCell ref="C24:C26"/>
    <mergeCell ref="D24:D26"/>
    <mergeCell ref="H24:H26"/>
    <mergeCell ref="S20:S22"/>
    <mergeCell ref="E21:G21"/>
    <mergeCell ref="I21:L21"/>
    <mergeCell ref="N21:R21"/>
    <mergeCell ref="E22:G22"/>
    <mergeCell ref="I22:L22"/>
    <mergeCell ref="N22:R22"/>
  </mergeCells>
  <hyperlinks>
    <hyperlink ref="V2" location="'Main Page'!A1" display="Go to TOC Sheet" xr:uid="{F8E03B42-23BE-4A09-AB45-8285DBC2538B}"/>
  </hyperlink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Main Page</vt:lpstr>
      <vt:lpstr>Transpose of 1x2 Matrix</vt:lpstr>
      <vt:lpstr>Transpose of 1x3 Matrix</vt:lpstr>
      <vt:lpstr>Transpose of 2x2 Matrix</vt:lpstr>
      <vt:lpstr>Transpose of 2x1 Matrix</vt:lpstr>
      <vt:lpstr>Transpose of 2x3 Matrix</vt:lpstr>
      <vt:lpstr>Transpose of 3x1 Matrix</vt:lpstr>
      <vt:lpstr>Transpose of 3x3 Matrix</vt:lpstr>
      <vt:lpstr>Transpose of 3x2 Matrix</vt:lpstr>
      <vt:lpstr>Addition of 2x2 Matrix</vt:lpstr>
      <vt:lpstr>Subtraction of 2x2 Matrix</vt:lpstr>
      <vt:lpstr>Addition of 3x3 Matrix</vt:lpstr>
      <vt:lpstr>Subtraction of 3x3 Matrix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 Jee</dc:creator>
  <cp:lastModifiedBy>Hamad Hassan Awan</cp:lastModifiedBy>
  <dcterms:created xsi:type="dcterms:W3CDTF">2015-06-05T18:17:20Z</dcterms:created>
  <dcterms:modified xsi:type="dcterms:W3CDTF">2024-06-04T19:37:53Z</dcterms:modified>
</cp:coreProperties>
</file>